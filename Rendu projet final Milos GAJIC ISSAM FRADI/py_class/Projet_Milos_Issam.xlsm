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los\Desktop\Rendu projet final Milos GAJIC ISSAM FRADI\py_class\"/>
    </mc:Choice>
  </mc:AlternateContent>
  <xr:revisionPtr revIDLastSave="0" documentId="13_ncr:1_{0755944C-B371-44A8-A4BA-5F01AE9F3912}" xr6:coauthVersionLast="47" xr6:coauthVersionMax="47" xr10:uidLastSave="{00000000-0000-0000-0000-000000000000}"/>
  <bookViews>
    <workbookView xWindow="-120" yWindow="-120" windowWidth="29040" windowHeight="15720" xr2:uid="{E1D8A5D7-8FB4-483A-ABDA-0B6F33DC7B26}"/>
  </bookViews>
  <sheets>
    <sheet name="Pricer" sheetId="1" r:id="rId1"/>
    <sheet name="Tree vs B&amp;S" sheetId="9" r:id="rId2"/>
    <sheet name="Performance Test" sheetId="27" r:id="rId3"/>
    <sheet name="Greeks Analysis" sheetId="10" r:id="rId4"/>
    <sheet name="VBA_Arbre" sheetId="6" r:id="rId5"/>
  </sheets>
  <functionGroups builtInGroupCount="19">
    <functionGroup name="xlwings"/>
    <functionGroup name="Refinitiv"/>
    <functionGroup name="MyCSharpTools Add-In"/>
    <functionGroup name="Workspace Lite Add-in"/>
  </functionGroups>
  <definedNames>
    <definedName name="_xleta.EXP" hidden="1" xlm="1">#NAME?</definedName>
    <definedName name="_xleta.LOG" hidden="1" xlm="1">#NAME?</definedName>
    <definedName name="Divamount">Pricer!$I$11</definedName>
    <definedName name="divDate">Pricer!$I$12</definedName>
    <definedName name="EU_US">Pricer!$I$15</definedName>
    <definedName name="IntRate">Pricer!$I$9</definedName>
    <definedName name="Mat">Pricer!$I$13</definedName>
    <definedName name="OptPrice_VBA">Pricer!$P$14</definedName>
    <definedName name="OptType">Pricer!$I$14</definedName>
    <definedName name="Pr_Date">Pricer!$I$7</definedName>
    <definedName name="St">Pricer!$I$8</definedName>
    <definedName name="Steps">Pricer!$I$17</definedName>
    <definedName name="Strike">Pricer!$I$16</definedName>
    <definedName name="Time_VBA">Pricer!$P$15</definedName>
    <definedName name="Vol">Pricer!$I$10</definedName>
  </definedNames>
  <calcPr calcId="191029"/>
  <extLst>
    <ext xmlns:x14="http://schemas.microsoft.com/office/spreadsheetml/2009/9/main" uri="{8193D73E-4604-4355-AFF4-8A2333D13BE4}">
      <x14:definedNames>
        <x14:definedName name="OptionPricerPy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OptionPricerPyRec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27" l="1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P9" i="1" l="1"/>
  <c r="E2" i="9" l="1"/>
  <c r="E3" i="9"/>
  <c r="E4" i="9"/>
  <c r="E5" i="9"/>
  <c r="E6" i="9"/>
  <c r="E7" i="9"/>
  <c r="E8" i="9"/>
  <c r="E9" i="9"/>
  <c r="E10" i="9"/>
  <c r="E11" i="9"/>
  <c r="E12" i="9"/>
  <c r="E13" i="9"/>
  <c r="E14" i="9"/>
  <c r="O3" i="9"/>
  <c r="O4" i="9" s="1"/>
  <c r="O5" i="9" s="1"/>
  <c r="O6" i="9" s="1"/>
  <c r="O7" i="9" s="1"/>
  <c r="O8" i="9" s="1"/>
  <c r="O9" i="9" s="1"/>
  <c r="O10" i="9" s="1"/>
  <c r="O11" i="9" s="1"/>
  <c r="O12" i="9" s="1"/>
  <c r="O13" i="9" s="1"/>
  <c r="O14" i="9" s="1"/>
  <c r="O15" i="9" s="1"/>
  <c r="O16" i="9" s="1"/>
  <c r="O17" i="9" s="1"/>
  <c r="O18" i="9" s="1"/>
  <c r="O19" i="9" s="1"/>
  <c r="O20" i="9" s="1"/>
  <c r="O21" i="9" s="1"/>
  <c r="I7" i="1" l="1"/>
  <c r="S8" i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P12" i="1" l="1"/>
</calcChain>
</file>

<file path=xl/sharedStrings.xml><?xml version="1.0" encoding="utf-8"?>
<sst xmlns="http://schemas.openxmlformats.org/spreadsheetml/2006/main" count="171" uniqueCount="164">
  <si>
    <t xml:space="preserve">Start date </t>
  </si>
  <si>
    <t>Start price</t>
  </si>
  <si>
    <t>Market</t>
  </si>
  <si>
    <t>Interest rate</t>
  </si>
  <si>
    <t>Volatility</t>
  </si>
  <si>
    <t>Dividend</t>
  </si>
  <si>
    <t>Maturity</t>
  </si>
  <si>
    <t>Type</t>
  </si>
  <si>
    <t>Call</t>
  </si>
  <si>
    <t>Exercice</t>
  </si>
  <si>
    <t>EU</t>
  </si>
  <si>
    <t>Strike</t>
  </si>
  <si>
    <t>Nb steps</t>
  </si>
  <si>
    <t>None</t>
  </si>
  <si>
    <t>Put</t>
  </si>
  <si>
    <t>All</t>
  </si>
  <si>
    <t>Affichage</t>
  </si>
  <si>
    <t>Input</t>
  </si>
  <si>
    <t>Option Pricer Python vs VBA</t>
  </si>
  <si>
    <t>Trinomial Tree</t>
  </si>
  <si>
    <t>Contract</t>
  </si>
  <si>
    <t>BS Price</t>
  </si>
  <si>
    <t>Price</t>
  </si>
  <si>
    <t>Error python</t>
  </si>
  <si>
    <t>Run time Tree (s)</t>
  </si>
  <si>
    <t>Run time Pricing (s)</t>
  </si>
  <si>
    <t>Run time Total (s)</t>
  </si>
  <si>
    <t>VBA Time</t>
  </si>
  <si>
    <t>Output</t>
  </si>
  <si>
    <t>Div ex-date</t>
  </si>
  <si>
    <t>Greeks</t>
  </si>
  <si>
    <t>Delta</t>
  </si>
  <si>
    <t>Gamma</t>
  </si>
  <si>
    <t>Vega</t>
  </si>
  <si>
    <t xml:space="preserve">Python </t>
  </si>
  <si>
    <t>Step 0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</si>
  <si>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</si>
  <si>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</si>
  <si>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</si>
  <si>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</si>
  <si>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</si>
  <si>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</si>
  <si>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</si>
  <si>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</si>
  <si>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Step 9</t>
  </si>
  <si>
    <t>Step 10</t>
  </si>
  <si>
    <t>(Tree-BS)*Steps</t>
  </si>
  <si>
    <t>Tree Price (Backward)</t>
  </si>
  <si>
    <t>US</t>
  </si>
  <si>
    <t>Step 11</t>
  </si>
  <si>
    <t>Step 12</t>
  </si>
  <si>
    <t>Step 13</t>
  </si>
  <si>
    <t>Step 14</t>
  </si>
  <si>
    <t>Step 15</t>
  </si>
  <si>
    <t>Step 16</t>
  </si>
  <si>
    <t>Step 17</t>
  </si>
  <si>
    <t>Step 18</t>
  </si>
  <si>
    <t>Step 19</t>
  </si>
  <si>
    <t>Step 20</t>
  </si>
  <si>
    <t>Variance</t>
  </si>
  <si>
    <t>Proba</t>
  </si>
  <si>
    <t>Prix</t>
  </si>
  <si>
    <t xml:space="preserve">Volga </t>
  </si>
  <si>
    <t>Vomma</t>
  </si>
  <si>
    <t>Nb_steps</t>
  </si>
  <si>
    <t>B&amp;S price</t>
  </si>
  <si>
    <t>Step 21</t>
  </si>
  <si>
    <t>Step 22</t>
  </si>
  <si>
    <t>Step 23</t>
  </si>
  <si>
    <t>Step 24</t>
  </si>
  <si>
    <t>Step 25</t>
  </si>
  <si>
    <t>Step 26</t>
  </si>
  <si>
    <t>Step 27</t>
  </si>
  <si>
    <t>Step 28</t>
  </si>
  <si>
    <t>Step 29</t>
  </si>
  <si>
    <t>Step 30</t>
  </si>
  <si>
    <t>Step 31</t>
  </si>
  <si>
    <t>Step 32</t>
  </si>
  <si>
    <t>Step 33</t>
  </si>
  <si>
    <t>Step 34</t>
  </si>
  <si>
    <t>Step 35</t>
  </si>
  <si>
    <t>Step 36</t>
  </si>
  <si>
    <t>Step 37</t>
  </si>
  <si>
    <t>Step 38</t>
  </si>
  <si>
    <t>Step 39</t>
  </si>
  <si>
    <t>Step 40</t>
  </si>
  <si>
    <t>Step 41</t>
  </si>
  <si>
    <t>Step 42</t>
  </si>
  <si>
    <t>Step 43</t>
  </si>
  <si>
    <t>Step 44</t>
  </si>
  <si>
    <t>Step 45</t>
  </si>
  <si>
    <t>Step 46</t>
  </si>
  <si>
    <t>Step 47</t>
  </si>
  <si>
    <t>Step 48</t>
  </si>
  <si>
    <t>Step 49</t>
  </si>
  <si>
    <t>Step 50</t>
  </si>
  <si>
    <t>precision</t>
  </si>
  <si>
    <t xml:space="preserve">Gap: </t>
  </si>
  <si>
    <t>Step 51</t>
  </si>
  <si>
    <t>Step 52</t>
  </si>
  <si>
    <t>Step 53</t>
  </si>
  <si>
    <t>Step 54</t>
  </si>
  <si>
    <t>Step 55</t>
  </si>
  <si>
    <t>Step 56</t>
  </si>
  <si>
    <t>Step 57</t>
  </si>
  <si>
    <t>Step 58</t>
  </si>
  <si>
    <t>Step 59</t>
  </si>
  <si>
    <t>Step 60</t>
  </si>
  <si>
    <t>Step 61</t>
  </si>
  <si>
    <t>Step 62</t>
  </si>
  <si>
    <t>Step 63</t>
  </si>
  <si>
    <t>Step 64</t>
  </si>
  <si>
    <t>Step 65</t>
  </si>
  <si>
    <t>Step 66</t>
  </si>
  <si>
    <t>Step 67</t>
  </si>
  <si>
    <t>Step 68</t>
  </si>
  <si>
    <t>Step 69</t>
  </si>
  <si>
    <t>Step 70</t>
  </si>
  <si>
    <t>Step 71</t>
  </si>
  <si>
    <t>Step 72</t>
  </si>
  <si>
    <t>Step 73</t>
  </si>
  <si>
    <t>Step 74</t>
  </si>
  <si>
    <t>Step 75</t>
  </si>
  <si>
    <t>Step 76</t>
  </si>
  <si>
    <t>Step 77</t>
  </si>
  <si>
    <t>Step 78</t>
  </si>
  <si>
    <t>Step 79</t>
  </si>
  <si>
    <t>Step 80</t>
  </si>
  <si>
    <t>Step 81</t>
  </si>
  <si>
    <t>Step 82</t>
  </si>
  <si>
    <t>Step 83</t>
  </si>
  <si>
    <t>Step 84</t>
  </si>
  <si>
    <t>Step 85</t>
  </si>
  <si>
    <t>Step 86</t>
  </si>
  <si>
    <t>Step 87</t>
  </si>
  <si>
    <t>Step 88</t>
  </si>
  <si>
    <t>Step 89</t>
  </si>
  <si>
    <t>Step 90</t>
  </si>
  <si>
    <t>Step 91</t>
  </si>
  <si>
    <t>Step 92</t>
  </si>
  <si>
    <t>Step 93</t>
  </si>
  <si>
    <t>Step 94</t>
  </si>
  <si>
    <t>Step 95</t>
  </si>
  <si>
    <t>Step 96</t>
  </si>
  <si>
    <t>Step 97</t>
  </si>
  <si>
    <t>Step 98</t>
  </si>
  <si>
    <t>Step 99</t>
  </si>
  <si>
    <t>Step 100</t>
  </si>
  <si>
    <t xml:space="preserve">Tree Price (Backward) </t>
  </si>
  <si>
    <t>Gap</t>
  </si>
  <si>
    <t>Price error</t>
  </si>
  <si>
    <t>Stock price</t>
  </si>
  <si>
    <t xml:space="preserve">Delta </t>
  </si>
  <si>
    <t xml:space="preserve">Gamma </t>
  </si>
  <si>
    <t xml:space="preserve">Error Python </t>
  </si>
  <si>
    <t>Volga</t>
  </si>
  <si>
    <t>Vanna</t>
  </si>
  <si>
    <t>pente de la courbe</t>
  </si>
  <si>
    <t>VBA</t>
  </si>
  <si>
    <t>Elapsed Time (s)  (Python)</t>
  </si>
  <si>
    <t>Temps VBA (s)</t>
  </si>
  <si>
    <t>Python Price (backward)</t>
  </si>
  <si>
    <t>Python  price (recursive)</t>
  </si>
  <si>
    <t>VBA Price (backward)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</si>
</sst>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00000"/>
  </numFmts>
  <fonts count="14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 tint="9.9978637043366805E-2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000000"/>
      <name val="Aptos Narrow"/>
      <family val="2"/>
    </font>
    <font>
      <b/>
      <sz val="15"/>
      <color rgb="FF0070C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BF1DE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9">
    <xf numFmtId="0" fontId="0" fillId="0" borderId="0" xfId="0"/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" borderId="0" xfId="0" applyFill="1"/>
    <xf numFmtId="0" fontId="1" fillId="3" borderId="0" xfId="1" applyFill="1" applyBorder="1"/>
    <xf numFmtId="0" fontId="3" fillId="3" borderId="3" xfId="0" applyFont="1" applyFill="1" applyBorder="1"/>
    <xf numFmtId="14" fontId="0" fillId="3" borderId="4" xfId="0" applyNumberFormat="1" applyFill="1" applyBorder="1"/>
    <xf numFmtId="0" fontId="0" fillId="3" borderId="4" xfId="0" applyFill="1" applyBorder="1"/>
    <xf numFmtId="0" fontId="0" fillId="3" borderId="3" xfId="0" applyFill="1" applyBorder="1"/>
    <xf numFmtId="9" fontId="0" fillId="3" borderId="3" xfId="0" applyNumberFormat="1" applyFill="1" applyBorder="1"/>
    <xf numFmtId="9" fontId="0" fillId="3" borderId="5" xfId="0" applyNumberFormat="1" applyFill="1" applyBorder="1"/>
    <xf numFmtId="0" fontId="0" fillId="3" borderId="6" xfId="0" applyFill="1" applyBorder="1"/>
    <xf numFmtId="165" fontId="0" fillId="3" borderId="6" xfId="0" applyNumberFormat="1" applyFill="1" applyBorder="1"/>
    <xf numFmtId="165" fontId="0" fillId="3" borderId="2" xfId="0" applyNumberFormat="1" applyFill="1" applyBorder="1"/>
    <xf numFmtId="164" fontId="4" fillId="3" borderId="6" xfId="0" applyNumberFormat="1" applyFont="1" applyFill="1" applyBorder="1"/>
    <xf numFmtId="165" fontId="0" fillId="3" borderId="5" xfId="0" applyNumberFormat="1" applyFill="1" applyBorder="1"/>
    <xf numFmtId="0" fontId="6" fillId="3" borderId="0" xfId="0" applyFont="1" applyFill="1"/>
    <xf numFmtId="0" fontId="8" fillId="3" borderId="0" xfId="1" applyFon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9" fillId="3" borderId="6" xfId="0" applyFont="1" applyFill="1" applyBorder="1"/>
    <xf numFmtId="0" fontId="10" fillId="3" borderId="8" xfId="0" applyFont="1" applyFill="1" applyBorder="1"/>
    <xf numFmtId="0" fontId="5" fillId="3" borderId="8" xfId="0" applyFont="1" applyFill="1" applyBorder="1"/>
    <xf numFmtId="0" fontId="11" fillId="3" borderId="3" xfId="0" applyFont="1" applyFill="1" applyBorder="1"/>
    <xf numFmtId="0" fontId="12" fillId="3" borderId="3" xfId="0" applyFont="1" applyFill="1" applyBorder="1"/>
    <xf numFmtId="4" fontId="0" fillId="0" borderId="0" xfId="0" applyNumberFormat="1" applyAlignment="1">
      <alignment horizontal="center"/>
    </xf>
    <xf numFmtId="4" fontId="0" fillId="2" borderId="0" xfId="0" applyNumberFormat="1" applyFill="1" applyAlignment="1">
      <alignment horizontal="center"/>
    </xf>
    <xf numFmtId="4" fontId="2" fillId="0" borderId="0" xfId="0" applyNumberFormat="1" applyFont="1" applyAlignment="1">
      <alignment horizontal="center"/>
    </xf>
    <xf numFmtId="0" fontId="2" fillId="3" borderId="0" xfId="0" applyFont="1" applyFill="1"/>
    <xf numFmtId="0" fontId="2" fillId="0" borderId="3" xfId="0" applyFont="1" applyBorder="1"/>
    <xf numFmtId="0" fontId="0" fillId="0" borderId="3" xfId="0" applyBorder="1"/>
    <xf numFmtId="164" fontId="0" fillId="0" borderId="3" xfId="0" applyNumberFormat="1" applyBorder="1"/>
    <xf numFmtId="0" fontId="2" fillId="0" borderId="3" xfId="0" applyFont="1" applyBorder="1" applyAlignment="1">
      <alignment horizontal="center" vertical="center"/>
    </xf>
    <xf numFmtId="0" fontId="0" fillId="3" borderId="10" xfId="0" applyFill="1" applyBorder="1"/>
    <xf numFmtId="0" fontId="5" fillId="3" borderId="3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</cellXfs>
  <cellStyles count="2">
    <cellStyle name="Normal" xfId="0" builtinId="0"/>
    <cellStyle name="Titre 1" xfId="1" builtinId="1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'Tree vs B&amp;S'!$C$1</c:f>
              <c:strCache>
                <c:ptCount val="1"/>
                <c:pt idx="0">
                  <c:v>(Tree-BS)*Steps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'Tree vs B&amp;S'!$A$2:$A$14</c:f>
              <c:numCache>
                <c:formatCode>General</c:formatCode>
                <c:ptCount val="13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</c:numCache>
            </c:numRef>
          </c:cat>
          <c:val>
            <c:numRef>
              <c:f>'Tree vs B&amp;S'!$D$2:$D$14</c:f>
              <c:numCache>
                <c:formatCode>General</c:formatCode>
                <c:ptCount val="13"/>
                <c:pt idx="0">
                  <c:v>-1.1157986883589643</c:v>
                </c:pt>
                <c:pt idx="1">
                  <c:v>0.93498833102403367</c:v>
                </c:pt>
                <c:pt idx="2">
                  <c:v>0.95514600434531971</c:v>
                </c:pt>
                <c:pt idx="3">
                  <c:v>5.9935907009078804E-2</c:v>
                </c:pt>
                <c:pt idx="4">
                  <c:v>-0.69488704255604716</c:v>
                </c:pt>
                <c:pt idx="5">
                  <c:v>-1.696089030317971</c:v>
                </c:pt>
                <c:pt idx="6">
                  <c:v>-0.89675390247379028</c:v>
                </c:pt>
                <c:pt idx="7">
                  <c:v>0.46415591160453573</c:v>
                </c:pt>
                <c:pt idx="8">
                  <c:v>0.96100805176941861</c:v>
                </c:pt>
                <c:pt idx="9">
                  <c:v>-0.67632305564568895</c:v>
                </c:pt>
                <c:pt idx="10">
                  <c:v>0.21690559619571559</c:v>
                </c:pt>
                <c:pt idx="11">
                  <c:v>0.71447539068829613</c:v>
                </c:pt>
                <c:pt idx="12">
                  <c:v>-0.99541016059667697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4C-4EBA-8402-C61D7E026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597856"/>
        <c:axId val="1432599776"/>
      </c:lineChart>
      <c:catAx>
        <c:axId val="1432597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pas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32599776"/>
        <c:crosses val="autoZero"/>
        <c:auto val="1"/>
        <c:lblAlgn val="ctr"/>
        <c:lblOffset val="100"/>
        <c:noMultiLvlLbl val="0"/>
      </c:catAx>
      <c:valAx>
        <c:axId val="143259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3259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Convergence</a:t>
            </a:r>
            <a:r>
              <a:rPr lang="fr-FR" baseline="0"/>
              <a:t> de Tree Price -&gt; B&amp;S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428801753563057E-2"/>
          <c:y val="0.12146431853649632"/>
          <c:w val="0.89557276898920735"/>
          <c:h val="0.61823923243621259"/>
        </c:manualLayout>
      </c:layout>
      <c:lineChart>
        <c:grouping val="standard"/>
        <c:varyColors val="0"/>
        <c:ser>
          <c:idx val="1"/>
          <c:order val="0"/>
          <c:tx>
            <c:strRef>
              <c:f>'Tree vs B&amp;S'!$B$1</c:f>
              <c:strCache>
                <c:ptCount val="1"/>
                <c:pt idx="0">
                  <c:v>Tree Price (Backward)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'Tree vs B&amp;S'!$A$2:$A$14</c:f>
              <c:numCache>
                <c:formatCode>General</c:formatCode>
                <c:ptCount val="13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</c:numCache>
            </c:numRef>
          </c:cat>
          <c:val>
            <c:numRef>
              <c:f>'Tree vs B&amp;S'!$B$2:$B$14</c:f>
              <c:numCache>
                <c:formatCode>General</c:formatCode>
                <c:ptCount val="13"/>
                <c:pt idx="0">
                  <c:v>3.9409892527772676</c:v>
                </c:pt>
                <c:pt idx="1">
                  <c:v>4.0712688882336447</c:v>
                </c:pt>
                <c:pt idx="2">
                  <c:v>4.0621205816566173</c:v>
                </c:pt>
                <c:pt idx="3">
                  <c:v>4.0529686943265579</c:v>
                </c:pt>
                <c:pt idx="4">
                  <c:v>4.0490946864003838</c:v>
                </c:pt>
                <c:pt idx="5">
                  <c:v>4.0469154915121042</c:v>
                </c:pt>
                <c:pt idx="6">
                  <c:v>4.0503272368569796</c:v>
                </c:pt>
                <c:pt idx="7">
                  <c:v>4.0534974334363731</c:v>
                </c:pt>
                <c:pt idx="8">
                  <c:v>4.0541708016994464</c:v>
                </c:pt>
                <c:pt idx="9">
                  <c:v>4.0516029458193845</c:v>
                </c:pt>
                <c:pt idx="10">
                  <c:v>4.0528402536084087</c:v>
                </c:pt>
                <c:pt idx="11">
                  <c:v>4.0533629831583733</c:v>
                </c:pt>
                <c:pt idx="12">
                  <c:v>4.0515737114525674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DD-4048-87B7-98AB140096C0}"/>
            </c:ext>
          </c:extLst>
        </c:ser>
        <c:ser>
          <c:idx val="2"/>
          <c:order val="1"/>
          <c:tx>
            <c:strRef>
              <c:f>'Tree vs B&amp;S'!$D$1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'Tree vs B&amp;S'!$A$2:$A$14</c:f>
              <c:numCache>
                <c:formatCode>General</c:formatCode>
                <c:ptCount val="13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</c:numCache>
            </c:numRef>
          </c:cat>
          <c:val>
            <c:numRef>
              <c:f>'Tree vs B&amp;S'!$C$2:$C$14</c:f>
              <c:numCache>
                <c:formatCode>General</c:formatCode>
                <c:ptCount val="13"/>
                <c:pt idx="0">
                  <c:v>4.0525691216131641</c:v>
                </c:pt>
                <c:pt idx="1">
                  <c:v>4.0525691216131641</c:v>
                </c:pt>
                <c:pt idx="2">
                  <c:v>4.0525691216131641</c:v>
                </c:pt>
                <c:pt idx="3">
                  <c:v>4.0525691216131641</c:v>
                </c:pt>
                <c:pt idx="4">
                  <c:v>4.0525691216131641</c:v>
                </c:pt>
                <c:pt idx="5">
                  <c:v>4.0525691216131641</c:v>
                </c:pt>
                <c:pt idx="6">
                  <c:v>4.0525691216131641</c:v>
                </c:pt>
                <c:pt idx="7">
                  <c:v>4.0525691216131641</c:v>
                </c:pt>
                <c:pt idx="8">
                  <c:v>4.0525691216131641</c:v>
                </c:pt>
                <c:pt idx="9">
                  <c:v>4.0525691216131641</c:v>
                </c:pt>
                <c:pt idx="10">
                  <c:v>4.0525691216131641</c:v>
                </c:pt>
                <c:pt idx="11">
                  <c:v>4.0525691216131641</c:v>
                </c:pt>
                <c:pt idx="12">
                  <c:v>4.0525691216131641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DD-4048-87B7-98AB14009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366271"/>
        <c:axId val="1928371551"/>
      </c:lineChart>
      <c:catAx>
        <c:axId val="1928366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pas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8371551"/>
        <c:crosses val="autoZero"/>
        <c:auto val="1"/>
        <c:lblAlgn val="ctr"/>
        <c:lblOffset val="100"/>
        <c:noMultiLvlLbl val="0"/>
      </c:catAx>
      <c:valAx>
        <c:axId val="1928371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8366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Gap between</a:t>
            </a:r>
            <a:r>
              <a:rPr lang="fr-FR" baseline="0"/>
              <a:t> Tree price and B&amp;S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922938767602932"/>
          <c:y val="0.11167329888609535"/>
          <c:w val="0.77364482956878244"/>
          <c:h val="0.64901227938535511"/>
        </c:manualLayout>
      </c:layout>
      <c:lineChart>
        <c:grouping val="standard"/>
        <c:varyColors val="0"/>
        <c:ser>
          <c:idx val="1"/>
          <c:order val="0"/>
          <c:tx>
            <c:strRef>
              <c:f>'Tree vs B&amp;S'!$P$1</c:f>
              <c:strCache>
                <c:ptCount val="1"/>
                <c:pt idx="0">
                  <c:v>Tree Price (Backward)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'Tree vs B&amp;S'!$O$2:$O$21</c:f>
              <c:numCache>
                <c:formatCode>General</c:formatCode>
                <c:ptCount val="20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</c:numCache>
            </c:numRef>
          </c:cat>
          <c:val>
            <c:numRef>
              <c:f>'Tree vs B&amp;S'!$P$2:$P$21</c:f>
              <c:numCache>
                <c:formatCode>General</c:formatCode>
                <c:ptCount val="20"/>
                <c:pt idx="0">
                  <c:v>3.7891939781206463</c:v>
                </c:pt>
                <c:pt idx="1">
                  <c:v>4.1024545574468307</c:v>
                </c:pt>
                <c:pt idx="2">
                  <c:v>4.4157151367730139</c:v>
                </c:pt>
                <c:pt idx="3">
                  <c:v>4.7289757160991988</c:v>
                </c:pt>
                <c:pt idx="4">
                  <c:v>5.0422362954253819</c:v>
                </c:pt>
                <c:pt idx="5">
                  <c:v>5.3554968747515659</c:v>
                </c:pt>
                <c:pt idx="6">
                  <c:v>5.6729494292279545</c:v>
                </c:pt>
                <c:pt idx="7">
                  <c:v>6.130782894171781</c:v>
                </c:pt>
                <c:pt idx="8">
                  <c:v>6.5886163591156057</c:v>
                </c:pt>
                <c:pt idx="9">
                  <c:v>7.0464498240594287</c:v>
                </c:pt>
                <c:pt idx="10">
                  <c:v>7.5042832890032534</c:v>
                </c:pt>
                <c:pt idx="11">
                  <c:v>7.962116753947079</c:v>
                </c:pt>
                <c:pt idx="12">
                  <c:v>8.4199502188909019</c:v>
                </c:pt>
                <c:pt idx="13">
                  <c:v>8.8777836838347248</c:v>
                </c:pt>
                <c:pt idx="14">
                  <c:v>9.3356171487785513</c:v>
                </c:pt>
                <c:pt idx="15">
                  <c:v>9.7934506137223778</c:v>
                </c:pt>
                <c:pt idx="16">
                  <c:v>10.27339697599724</c:v>
                </c:pt>
                <c:pt idx="17">
                  <c:v>10.879635359202513</c:v>
                </c:pt>
                <c:pt idx="18">
                  <c:v>11.48587374240779</c:v>
                </c:pt>
                <c:pt idx="19">
                  <c:v>12.092112125613056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F7-4978-9FF3-ADFDE8F4FA5B}"/>
            </c:ext>
          </c:extLst>
        </c:ser>
        <c:ser>
          <c:idx val="2"/>
          <c:order val="1"/>
          <c:tx>
            <c:strRef>
              <c:f>'Tree vs B&amp;S'!$Q$1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'Tree vs B&amp;S'!$O$2:$O$21</c:f>
              <c:numCache>
                <c:formatCode>General</c:formatCode>
                <c:ptCount val="20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</c:numCache>
            </c:numRef>
          </c:cat>
          <c:val>
            <c:numRef>
              <c:f>'Tree vs B&amp;S'!$Q$2:$Q$21</c:f>
              <c:numCache>
                <c:formatCode>General</c:formatCode>
                <c:ptCount val="20"/>
                <c:pt idx="0">
                  <c:v>3.7514805639144377</c:v>
                </c:pt>
                <c:pt idx="1">
                  <c:v>4.0525691216131641</c:v>
                </c:pt>
                <c:pt idx="2">
                  <c:v>4.3686655944627937</c:v>
                </c:pt>
                <c:pt idx="3">
                  <c:v>4.6998979060774531</c:v>
                </c:pt>
                <c:pt idx="4">
                  <c:v>5.0463656810593953</c:v>
                </c:pt>
                <c:pt idx="5">
                  <c:v>5.4081406031995591</c:v>
                </c:pt>
                <c:pt idx="6">
                  <c:v>5.7852669122160343</c:v>
                </c:pt>
                <c:pt idx="7">
                  <c:v>6.1777620273572964</c:v>
                </c:pt>
                <c:pt idx="8">
                  <c:v>6.5856172858687643</c:v>
                </c:pt>
                <c:pt idx="9">
                  <c:v>7.0087987841595591</c:v>
                </c:pt>
                <c:pt idx="10">
                  <c:v>7.4472483094929629</c:v>
                </c:pt>
                <c:pt idx="11">
                  <c:v>7.9008843501454251</c:v>
                </c:pt>
                <c:pt idx="12">
                  <c:v>8.3696031722188664</c:v>
                </c:pt>
                <c:pt idx="13">
                  <c:v>8.853279951633894</c:v>
                </c:pt>
                <c:pt idx="14">
                  <c:v>9.351769950263062</c:v>
                </c:pt>
                <c:pt idx="15">
                  <c:v>9.8649097256670686</c:v>
                </c:pt>
                <c:pt idx="16">
                  <c:v>10.392518364461139</c:v>
                </c:pt>
                <c:pt idx="17">
                  <c:v>10.934398729949017</c:v>
                </c:pt>
                <c:pt idx="18">
                  <c:v>11.490338715306386</c:v>
                </c:pt>
                <c:pt idx="19">
                  <c:v>12.06011249426345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F7-4978-9FF3-ADFDE8F4F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092863"/>
        <c:axId val="1995076543"/>
      </c:lineChart>
      <c:lineChart>
        <c:grouping val="standard"/>
        <c:varyColors val="0"/>
        <c:ser>
          <c:idx val="3"/>
          <c:order val="2"/>
          <c:tx>
            <c:strRef>
              <c:f>'Tree vs B&amp;S'!$R$1</c:f>
              <c:strCache>
                <c:ptCount val="1"/>
                <c:pt idx="0">
                  <c:v>Gap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'Tree vs B&amp;S'!$O$2:$O$21</c:f>
              <c:numCache>
                <c:formatCode>General</c:formatCode>
                <c:ptCount val="20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</c:numCache>
            </c:numRef>
          </c:cat>
          <c:val>
            <c:numRef>
              <c:f>'Tree vs B&amp;S'!$R$2:$R$21</c:f>
              <c:numCache>
                <c:formatCode>General</c:formatCode>
                <c:ptCount val="20"/>
                <c:pt idx="0">
                  <c:v>3.7713414206208551E-2</c:v>
                </c:pt>
                <c:pt idx="1">
                  <c:v>4.9885435833666669E-2</c:v>
                </c:pt>
                <c:pt idx="2">
                  <c:v>4.7049542310220183E-2</c:v>
                </c:pt>
                <c:pt idx="3">
                  <c:v>2.9077810021745698E-2</c:v>
                </c:pt>
                <c:pt idx="4">
                  <c:v>-4.1293856340134383E-3</c:v>
                </c:pt>
                <c:pt idx="5">
                  <c:v>-5.2643728447993254E-2</c:v>
                </c:pt>
                <c:pt idx="6">
                  <c:v>-0.11231748298807975</c:v>
                </c:pt>
                <c:pt idx="7">
                  <c:v>-4.6979133185515387E-2</c:v>
                </c:pt>
                <c:pt idx="8">
                  <c:v>2.9990732468414549E-3</c:v>
                </c:pt>
                <c:pt idx="9">
                  <c:v>3.7651039899869509E-2</c:v>
                </c:pt>
                <c:pt idx="10">
                  <c:v>5.7034979510290462E-2</c:v>
                </c:pt>
                <c:pt idx="11">
                  <c:v>6.1232403801653845E-2</c:v>
                </c:pt>
                <c:pt idx="12">
                  <c:v>5.0347046672035489E-2</c:v>
                </c:pt>
                <c:pt idx="13">
                  <c:v>2.4503732200830797E-2</c:v>
                </c:pt>
                <c:pt idx="14">
                  <c:v>-1.6152801484510704E-2</c:v>
                </c:pt>
                <c:pt idx="15">
                  <c:v>-7.145911194469079E-2</c:v>
                </c:pt>
                <c:pt idx="16">
                  <c:v>-0.11912138846389908</c:v>
                </c:pt>
                <c:pt idx="17">
                  <c:v>-5.476337074650317E-2</c:v>
                </c:pt>
                <c:pt idx="18">
                  <c:v>-4.4649728985959314E-3</c:v>
                </c:pt>
                <c:pt idx="19">
                  <c:v>3.1999631349606261E-2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F7-4978-9FF3-ADFDE8F4F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6852159"/>
        <c:axId val="1986847839"/>
      </c:lineChart>
      <c:catAx>
        <c:axId val="1995092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Strike</a:t>
                </a:r>
              </a:p>
              <a:p>
                <a:pPr>
                  <a:defRPr/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95076543"/>
        <c:crosses val="autoZero"/>
        <c:auto val="1"/>
        <c:lblAlgn val="ctr"/>
        <c:lblOffset val="100"/>
        <c:noMultiLvlLbl val="0"/>
      </c:catAx>
      <c:valAx>
        <c:axId val="1995076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95092863"/>
        <c:crosses val="autoZero"/>
        <c:crossBetween val="between"/>
      </c:valAx>
      <c:valAx>
        <c:axId val="198684783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Gap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86852159"/>
        <c:crosses val="max"/>
        <c:crossBetween val="between"/>
      </c:valAx>
      <c:catAx>
        <c:axId val="19868521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684783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Price</a:t>
            </a:r>
            <a:r>
              <a:rPr lang="fr-FR" baseline="0"/>
              <a:t> error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'Tree vs B&amp;S'!$E$1</c:f>
              <c:strCache>
                <c:ptCount val="1"/>
                <c:pt idx="0">
                  <c:v>Price 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'Tree vs B&amp;S'!$A$2:$A$14</c:f>
              <c:numCache>
                <c:formatCode>General</c:formatCode>
                <c:ptCount val="13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</c:numCache>
            </c:numRef>
          </c:xVal>
          <c:yVal>
            <c:numRef>
              <c:f>'Tree vs B&amp;S'!$E$2:$E$14</c:f>
              <c:numCache>
                <c:formatCode>General</c:formatCode>
                <c:ptCount val="13"/>
                <c:pt idx="0">
                  <c:v>0.11157986883589643</c:v>
                </c:pt>
                <c:pt idx="1">
                  <c:v>1.8699766620480673E-2</c:v>
                </c:pt>
                <c:pt idx="2">
                  <c:v>9.5514600434531971E-3</c:v>
                </c:pt>
                <c:pt idx="3">
                  <c:v>3.9957271339385869E-4</c:v>
                </c:pt>
                <c:pt idx="4">
                  <c:v>3.4744352127802358E-3</c:v>
                </c:pt>
                <c:pt idx="5">
                  <c:v>5.6536301010599033E-3</c:v>
                </c:pt>
                <c:pt idx="6">
                  <c:v>2.2418847561844757E-3</c:v>
                </c:pt>
                <c:pt idx="7">
                  <c:v>9.2831182320907146E-4</c:v>
                </c:pt>
                <c:pt idx="8">
                  <c:v>1.6016800862823644E-3</c:v>
                </c:pt>
                <c:pt idx="9">
                  <c:v>9.6617579377955565E-4</c:v>
                </c:pt>
                <c:pt idx="10">
                  <c:v>2.7113199524464449E-4</c:v>
                </c:pt>
                <c:pt idx="11">
                  <c:v>7.9386154520921792E-4</c:v>
                </c:pt>
                <c:pt idx="12">
                  <c:v>9.9541016059667697E-4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19-4A86-AC8F-FB0C210ED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690303"/>
        <c:axId val="1924692703"/>
      </c:scatterChart>
      <c:valAx>
        <c:axId val="1924690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pas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4692703"/>
        <c:crosses val="autoZero"/>
        <c:crossBetween val="midCat"/>
      </c:valAx>
      <c:valAx>
        <c:axId val="192469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temps</a:t>
                </a:r>
                <a:r>
                  <a:rPr lang="fr-FR" baseline="0"/>
                  <a:t> en secondes</a:t>
                </a:r>
                <a:endParaRPr lang="fr-FR"/>
              </a:p>
            </c:rich>
          </c:tx>
          <c:layout>
            <c:manualLayout>
              <c:xMode val="edge"/>
              <c:yMode val="edge"/>
              <c:x val="3.1880457488748751E-2"/>
              <c:y val="0.2590295531240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4690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 Time Excution (s)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546521027283967"/>
          <c:y val="0.14276949965711791"/>
          <c:w val="0.80159105991070456"/>
          <c:h val="0.7192668506330580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'Performance Test'!$B$1</c:f>
              <c:strCache>
                <c:ptCount val="1"/>
                <c:pt idx="0">
                  <c:v>Elapsed Time (s)  (Python)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'Performance Test'!$A$2:$A$20</c:f>
              <c:numCache>
                <c:formatCode>General</c:formatCode>
                <c:ptCount val="1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</c:numCache>
            </c:numRef>
          </c:xVal>
          <c:yVal>
            <c:numRef>
              <c:f>'Performance Test'!$B$2:$B$20</c:f>
              <c:numCache>
                <c:formatCode>0.0000000</c:formatCode>
                <c:ptCount val="19"/>
                <c:pt idx="0">
                  <c:v>9.9921226501464844E-4</c:v>
                </c:pt>
                <c:pt idx="1">
                  <c:v>2.9964447021484375E-3</c:v>
                </c:pt>
                <c:pt idx="2">
                  <c:v>6.000518798828125E-3</c:v>
                </c:pt>
                <c:pt idx="3" formatCode="General">
                  <c:v>7.9987049102783203E-3</c:v>
                </c:pt>
                <c:pt idx="4">
                  <c:v>1.300358772277832E-2</c:v>
                </c:pt>
                <c:pt idx="5">
                  <c:v>1.3509035110473633E-2</c:v>
                </c:pt>
                <c:pt idx="6">
                  <c:v>2.1018266677856445E-2</c:v>
                </c:pt>
                <c:pt idx="7" formatCode="General">
                  <c:v>2.6984691619873047E-2</c:v>
                </c:pt>
                <c:pt idx="8" formatCode="General">
                  <c:v>3.2009363174438477E-2</c:v>
                </c:pt>
                <c:pt idx="9" formatCode="General">
                  <c:v>4.1515827178955078E-2</c:v>
                </c:pt>
                <c:pt idx="10" formatCode="General">
                  <c:v>8.9529037475585938E-2</c:v>
                </c:pt>
                <c:pt idx="11" formatCode="General">
                  <c:v>0.23204493522644043</c:v>
                </c:pt>
                <c:pt idx="12" formatCode="General">
                  <c:v>0.25069022178649902</c:v>
                </c:pt>
                <c:pt idx="13" formatCode="General">
                  <c:v>0.45318865776062012</c:v>
                </c:pt>
                <c:pt idx="14" formatCode="General">
                  <c:v>0.49365401268005371</c:v>
                </c:pt>
                <c:pt idx="15" formatCode="General">
                  <c:v>0.70267319679260254</c:v>
                </c:pt>
                <c:pt idx="16" formatCode="General">
                  <c:v>0.86217141151428223</c:v>
                </c:pt>
                <c:pt idx="17" formatCode="General">
                  <c:v>1.0532679557800293</c:v>
                </c:pt>
                <c:pt idx="18" formatCode="General">
                  <c:v>1.1408820152282715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78-47BC-BF37-8E6BA7CF6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27328"/>
        <c:axId val="436775392"/>
      </c:scatterChart>
      <c:valAx>
        <c:axId val="362427328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pas 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6775392"/>
        <c:crosses val="autoZero"/>
        <c:crossBetween val="midCat"/>
      </c:valAx>
      <c:valAx>
        <c:axId val="436775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Temps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2427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'Performance Test'!$B$1</c:f>
              <c:strCache>
                <c:ptCount val="1"/>
                <c:pt idx="0">
                  <c:v>Elapsed Time (s)  (Python)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'Performance Test'!$A$2:$A$20</c:f>
              <c:numCache>
                <c:formatCode>General</c:formatCode>
                <c:ptCount val="1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</c:numCache>
            </c:numRef>
          </c:xVal>
          <c:yVal>
            <c:numRef>
              <c:f>'Performance Test'!$B$2:$B$20</c:f>
              <c:numCache>
                <c:formatCode>0.0000000</c:formatCode>
                <c:ptCount val="19"/>
                <c:pt idx="0">
                  <c:v>9.9921226501464844E-4</c:v>
                </c:pt>
                <c:pt idx="1">
                  <c:v>2.9964447021484375E-3</c:v>
                </c:pt>
                <c:pt idx="2">
                  <c:v>6.000518798828125E-3</c:v>
                </c:pt>
                <c:pt idx="3" formatCode="General">
                  <c:v>7.9987049102783203E-3</c:v>
                </c:pt>
                <c:pt idx="4">
                  <c:v>1.300358772277832E-2</c:v>
                </c:pt>
                <c:pt idx="5">
                  <c:v>1.3509035110473633E-2</c:v>
                </c:pt>
                <c:pt idx="6">
                  <c:v>2.1018266677856445E-2</c:v>
                </c:pt>
                <c:pt idx="7" formatCode="General">
                  <c:v>2.6984691619873047E-2</c:v>
                </c:pt>
                <c:pt idx="8" formatCode="General">
                  <c:v>3.2009363174438477E-2</c:v>
                </c:pt>
                <c:pt idx="9" formatCode="General">
                  <c:v>4.1515827178955078E-2</c:v>
                </c:pt>
                <c:pt idx="10" formatCode="General">
                  <c:v>8.9529037475585938E-2</c:v>
                </c:pt>
                <c:pt idx="11" formatCode="General">
                  <c:v>0.23204493522644043</c:v>
                </c:pt>
                <c:pt idx="12" formatCode="General">
                  <c:v>0.25069022178649902</c:v>
                </c:pt>
                <c:pt idx="13" formatCode="General">
                  <c:v>0.45318865776062012</c:v>
                </c:pt>
                <c:pt idx="14" formatCode="General">
                  <c:v>0.49365401268005371</c:v>
                </c:pt>
                <c:pt idx="15" formatCode="General">
                  <c:v>0.70267319679260254</c:v>
                </c:pt>
                <c:pt idx="16" formatCode="General">
                  <c:v>0.86217141151428223</c:v>
                </c:pt>
                <c:pt idx="17" formatCode="General">
                  <c:v>1.0532679557800293</c:v>
                </c:pt>
                <c:pt idx="18" formatCode="General">
                  <c:v>1.1408820152282715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B-4142-935E-21622A30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370943"/>
        <c:axId val="630373343"/>
      </c:scatterChart>
      <c:scatterChart>
        <c:scatterStyle val="lineMarker"/>
        <c:varyColors val="0"/>
        <c:ser>
          <c:idx val="1"/>
          <c:order val="1"/>
          <c:tx>
            <c:strRef>
              <c:f>'Performance Test'!$C$1</c:f>
              <c:strCache>
                <c:ptCount val="1"/>
                <c:pt idx="0">
                  <c:v>Error Python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'Performance Test'!$A$2:$A$20</c:f>
              <c:numCache>
                <c:formatCode>General</c:formatCode>
                <c:ptCount val="1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</c:numCache>
            </c:numRef>
          </c:xVal>
          <c:yVal>
            <c:numRef>
              <c:f>'Performance Test'!$C$2:$C$20</c:f>
              <c:numCache>
                <c:formatCode>General</c:formatCode>
                <c:ptCount val="19"/>
                <c:pt idx="0">
                  <c:v>-0.17858855981461552</c:v>
                </c:pt>
                <c:pt idx="1">
                  <c:v>-7.1459111944816911E-2</c:v>
                </c:pt>
                <c:pt idx="2">
                  <c:v>-3.9527197569384498E-2</c:v>
                </c:pt>
                <c:pt idx="3">
                  <c:v>-2.4824784060688998E-2</c:v>
                </c:pt>
                <c:pt idx="4">
                  <c:v>-1.6618637684759463E-2</c:v>
                </c:pt>
                <c:pt idx="5">
                  <c:v>-1.1503607525590098E-2</c:v>
                </c:pt>
                <c:pt idx="6">
                  <c:v>-8.0779408133970776E-3</c:v>
                </c:pt>
                <c:pt idx="7">
                  <c:v>-5.6652144005209237E-3</c:v>
                </c:pt>
                <c:pt idx="8">
                  <c:v>-3.9016769878266189E-3</c:v>
                </c:pt>
                <c:pt idx="9">
                  <c:v>-2.5756427225918088E-3</c:v>
                </c:pt>
                <c:pt idx="10">
                  <c:v>1.9749735454244188E-3</c:v>
                </c:pt>
                <c:pt idx="11">
                  <c:v>2.5778019585587231E-3</c:v>
                </c:pt>
                <c:pt idx="12">
                  <c:v>2.5258024726362294E-3</c:v>
                </c:pt>
                <c:pt idx="13">
                  <c:v>2.3141775409012411E-3</c:v>
                </c:pt>
                <c:pt idx="14">
                  <c:v>2.0663674073144733E-3</c:v>
                </c:pt>
                <c:pt idx="15">
                  <c:v>1.8200692844718702E-3</c:v>
                </c:pt>
                <c:pt idx="16">
                  <c:v>1.587357801863476E-3</c:v>
                </c:pt>
                <c:pt idx="17">
                  <c:v>1.3715057935339559E-3</c:v>
                </c:pt>
                <c:pt idx="18">
                  <c:v>1.1725662188002417E-3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6B-4142-935E-21622A300D07}"/>
            </c:ext>
          </c:extLst>
        </c:ser>
        <c:ser>
          <c:idx val="2"/>
          <c:order val="2"/>
          <c:tx>
            <c:strRef>
              <c:f>'Performance Test'!$D$1</c:f>
              <c:strCache>
                <c:ptCount val="1"/>
                <c:pt idx="0">
                  <c:v>Temps VBA (s)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'Performance Test'!$A$2:$A$20</c:f>
              <c:numCache>
                <c:formatCode>General</c:formatCode>
                <c:ptCount val="1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</c:numCache>
            </c:numRef>
          </c:xVal>
          <c:yVal>
            <c:numRef>
              <c:f>'Performance Test'!$D$2:$D$21</c:f>
              <c:numCache>
                <c:formatCode>General</c:formatCode>
                <c:ptCount val="20"/>
                <c:pt idx="0">
                  <c:v>0</c:v>
                </c:pt>
                <c:pt idx="1">
                  <c:v>7.8125E-3</c:v>
                </c:pt>
                <c:pt idx="2">
                  <c:v>7.8125E-3</c:v>
                </c:pt>
                <c:pt idx="3">
                  <c:v>1.171875E-2</c:v>
                </c:pt>
                <c:pt idx="4">
                  <c:v>1.5625E-2</c:v>
                </c:pt>
                <c:pt idx="5">
                  <c:v>1.953125E-2</c:v>
                </c:pt>
                <c:pt idx="6">
                  <c:v>2.734375E-2</c:v>
                </c:pt>
                <c:pt idx="7">
                  <c:v>3.125E-2</c:v>
                </c:pt>
                <c:pt idx="8">
                  <c:v>4.296875E-2</c:v>
                </c:pt>
                <c:pt idx="9">
                  <c:v>4.6875E-2</c:v>
                </c:pt>
                <c:pt idx="10">
                  <c:v>0.1171875</c:v>
                </c:pt>
                <c:pt idx="11">
                  <c:v>0.2109375</c:v>
                </c:pt>
                <c:pt idx="12">
                  <c:v>0.34765625</c:v>
                </c:pt>
                <c:pt idx="13">
                  <c:v>0.4453125</c:v>
                </c:pt>
                <c:pt idx="14">
                  <c:v>0.609375</c:v>
                </c:pt>
                <c:pt idx="15">
                  <c:v>0.79296875</c:v>
                </c:pt>
                <c:pt idx="16">
                  <c:v>0.984375</c:v>
                </c:pt>
                <c:pt idx="17">
                  <c:v>1.16796875</c:v>
                </c:pt>
                <c:pt idx="18">
                  <c:v>1.390625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B-466A-89E6-F675D0185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448223"/>
        <c:axId val="630443903"/>
      </c:scatterChart>
      <c:valAx>
        <c:axId val="630370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pas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373343"/>
        <c:crosses val="autoZero"/>
        <c:crossBetween val="midCat"/>
      </c:valAx>
      <c:valAx>
        <c:axId val="63037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Temps</a:t>
                </a:r>
                <a:r>
                  <a:rPr lang="fr-FR" baseline="0"/>
                  <a:t> en secondes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370943"/>
        <c:crosses val="autoZero"/>
        <c:crossBetween val="midCat"/>
      </c:valAx>
      <c:valAx>
        <c:axId val="63044390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Erreur</a:t>
                </a:r>
                <a:r>
                  <a:rPr lang="fr-FR" baseline="0"/>
                  <a:t> Python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448223"/>
        <c:crosses val="max"/>
        <c:crossBetween val="midCat"/>
      </c:valAx>
      <c:valAx>
        <c:axId val="630448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04439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'Performance Test'!$C$1</c:f>
              <c:strCache>
                <c:ptCount val="1"/>
                <c:pt idx="0">
                  <c:v>Error Python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'Performance Test'!$B$2:$B$20</c:f>
              <c:numCache>
                <c:formatCode>0.0000000</c:formatCode>
                <c:ptCount val="19"/>
                <c:pt idx="0">
                  <c:v>9.9921226501464844E-4</c:v>
                </c:pt>
                <c:pt idx="1">
                  <c:v>2.9964447021484375E-3</c:v>
                </c:pt>
                <c:pt idx="2">
                  <c:v>6.000518798828125E-3</c:v>
                </c:pt>
                <c:pt idx="3" formatCode="General">
                  <c:v>7.9987049102783203E-3</c:v>
                </c:pt>
                <c:pt idx="4">
                  <c:v>1.300358772277832E-2</c:v>
                </c:pt>
                <c:pt idx="5">
                  <c:v>1.3509035110473633E-2</c:v>
                </c:pt>
                <c:pt idx="6">
                  <c:v>2.1018266677856445E-2</c:v>
                </c:pt>
                <c:pt idx="7" formatCode="General">
                  <c:v>2.6984691619873047E-2</c:v>
                </c:pt>
                <c:pt idx="8" formatCode="General">
                  <c:v>3.2009363174438477E-2</c:v>
                </c:pt>
                <c:pt idx="9" formatCode="General">
                  <c:v>4.1515827178955078E-2</c:v>
                </c:pt>
                <c:pt idx="10" formatCode="General">
                  <c:v>8.9529037475585938E-2</c:v>
                </c:pt>
                <c:pt idx="11" formatCode="General">
                  <c:v>0.23204493522644043</c:v>
                </c:pt>
                <c:pt idx="12" formatCode="General">
                  <c:v>0.25069022178649902</c:v>
                </c:pt>
                <c:pt idx="13" formatCode="General">
                  <c:v>0.45318865776062012</c:v>
                </c:pt>
                <c:pt idx="14" formatCode="General">
                  <c:v>0.49365401268005371</c:v>
                </c:pt>
                <c:pt idx="15" formatCode="General">
                  <c:v>0.70267319679260254</c:v>
                </c:pt>
                <c:pt idx="16" formatCode="General">
                  <c:v>0.86217141151428223</c:v>
                </c:pt>
                <c:pt idx="17" formatCode="General">
                  <c:v>1.0532679557800293</c:v>
                </c:pt>
                <c:pt idx="18" formatCode="General">
                  <c:v>1.1408820152282715</c:v>
                </c:pt>
              </c:numCache>
            </c:numRef>
          </c:cat>
          <c:val>
            <c:numRef>
              <c:f>'Performance Test'!$C$2:$C$20</c:f>
              <c:numCache>
                <c:formatCode>General</c:formatCode>
                <c:ptCount val="19"/>
                <c:pt idx="0">
                  <c:v>-0.17858855981461552</c:v>
                </c:pt>
                <c:pt idx="1">
                  <c:v>-7.1459111944816911E-2</c:v>
                </c:pt>
                <c:pt idx="2">
                  <c:v>-3.9527197569384498E-2</c:v>
                </c:pt>
                <c:pt idx="3">
                  <c:v>-2.4824784060688998E-2</c:v>
                </c:pt>
                <c:pt idx="4">
                  <c:v>-1.6618637684759463E-2</c:v>
                </c:pt>
                <c:pt idx="5">
                  <c:v>-1.1503607525590098E-2</c:v>
                </c:pt>
                <c:pt idx="6">
                  <c:v>-8.0779408133970776E-3</c:v>
                </c:pt>
                <c:pt idx="7">
                  <c:v>-5.6652144005209237E-3</c:v>
                </c:pt>
                <c:pt idx="8">
                  <c:v>-3.9016769878266189E-3</c:v>
                </c:pt>
                <c:pt idx="9">
                  <c:v>-2.5756427225918088E-3</c:v>
                </c:pt>
                <c:pt idx="10">
                  <c:v>1.9749735454244188E-3</c:v>
                </c:pt>
                <c:pt idx="11">
                  <c:v>2.5778019585587231E-3</c:v>
                </c:pt>
                <c:pt idx="12">
                  <c:v>2.5258024726362294E-3</c:v>
                </c:pt>
                <c:pt idx="13">
                  <c:v>2.3141775409012411E-3</c:v>
                </c:pt>
                <c:pt idx="14">
                  <c:v>2.0663674073144733E-3</c:v>
                </c:pt>
                <c:pt idx="15">
                  <c:v>1.8200692844718702E-3</c:v>
                </c:pt>
                <c:pt idx="16">
                  <c:v>1.587357801863476E-3</c:v>
                </c:pt>
                <c:pt idx="17">
                  <c:v>1.3715057935339559E-3</c:v>
                </c:pt>
                <c:pt idx="18">
                  <c:v>1.1725662188002417E-3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A4-44ED-8DB0-6453393DB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375263"/>
        <c:axId val="630366143"/>
      </c:lineChart>
      <c:catAx>
        <c:axId val="630375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Temps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366143"/>
        <c:crosses val="autoZero"/>
        <c:auto val="1"/>
        <c:lblAlgn val="ctr"/>
        <c:lblOffset val="100"/>
        <c:noMultiLvlLbl val="0"/>
      </c:catAx>
      <c:valAx>
        <c:axId val="63036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Error</a:t>
                </a:r>
                <a:r>
                  <a:rPr lang="fr-FR" baseline="0"/>
                  <a:t> Python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37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'Greeks Analysis'!$B$1</c:f>
              <c:strCache>
                <c:ptCount val="1"/>
                <c:pt idx="0">
                  <c:v>Delta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'Greeks Analysis'!$A$2:$A$102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cat>
          <c:val>
            <c:numRef>
              <c:f>'Greeks Analysis'!$B$2:$B$102</c:f>
              <c:numCache>
                <c:formatCode>General</c:formatCode>
                <c:ptCount val="101"/>
                <c:pt idx="0">
                  <c:v>-0.98177294921264036</c:v>
                </c:pt>
                <c:pt idx="1">
                  <c:v>-0.97917731908300065</c:v>
                </c:pt>
                <c:pt idx="2">
                  <c:v>-0.97366582405610491</c:v>
                </c:pt>
                <c:pt idx="3">
                  <c:v>-0.96944573979907278</c:v>
                </c:pt>
                <c:pt idx="4">
                  <c:v>-0.96546260986539201</c:v>
                </c:pt>
                <c:pt idx="5">
                  <c:v>-0.95621634547572143</c:v>
                </c:pt>
                <c:pt idx="6">
                  <c:v>-0.95089488961359281</c:v>
                </c:pt>
                <c:pt idx="7">
                  <c:v>-0.94506902978249918</c:v>
                </c:pt>
                <c:pt idx="8">
                  <c:v>-0.93871006065147011</c:v>
                </c:pt>
                <c:pt idx="9">
                  <c:v>-0.92428186600933526</c:v>
                </c:pt>
                <c:pt idx="10">
                  <c:v>-0.91616011849957601</c:v>
                </c:pt>
                <c:pt idx="11">
                  <c:v>-0.90740091445783089</c:v>
                </c:pt>
                <c:pt idx="12">
                  <c:v>-0.89798251901961013</c:v>
                </c:pt>
                <c:pt idx="13">
                  <c:v>-0.88788565944342501</c:v>
                </c:pt>
                <c:pt idx="14">
                  <c:v>-0.87108980408726056</c:v>
                </c:pt>
                <c:pt idx="15">
                  <c:v>-0.85337600408889303</c:v>
                </c:pt>
                <c:pt idx="16">
                  <c:v>-0.84043419232797612</c:v>
                </c:pt>
                <c:pt idx="17">
                  <c:v>-0.82676666145489774</c:v>
                </c:pt>
                <c:pt idx="18">
                  <c:v>-0.81237595329345957</c:v>
                </c:pt>
                <c:pt idx="19">
                  <c:v>-0.79726919134628393</c:v>
                </c:pt>
                <c:pt idx="20">
                  <c:v>-0.78145825018717718</c:v>
                </c:pt>
                <c:pt idx="21">
                  <c:v>-0.76495987497525586</c:v>
                </c:pt>
                <c:pt idx="22">
                  <c:v>-0.74779574687893691</c:v>
                </c:pt>
                <c:pt idx="23">
                  <c:v>-0.72999249097040786</c:v>
                </c:pt>
                <c:pt idx="24">
                  <c:v>-0.71158162405729108</c:v>
                </c:pt>
                <c:pt idx="25">
                  <c:v>-0.69259944091479997</c:v>
                </c:pt>
                <c:pt idx="26">
                  <c:v>-0.67308683847133155</c:v>
                </c:pt>
                <c:pt idx="27">
                  <c:v>-0.65308907859235266</c:v>
                </c:pt>
                <c:pt idx="28">
                  <c:v>-0.63265549124244747</c:v>
                </c:pt>
                <c:pt idx="29">
                  <c:v>-0.61183912098497673</c:v>
                </c:pt>
                <c:pt idx="30">
                  <c:v>-0.59069632080401835</c:v>
                </c:pt>
                <c:pt idx="31">
                  <c:v>-0.58384268932673322</c:v>
                </c:pt>
                <c:pt idx="32">
                  <c:v>-0.5692862983647321</c:v>
                </c:pt>
                <c:pt idx="33">
                  <c:v>-0.54767062070448924</c:v>
                </c:pt>
                <c:pt idx="34">
                  <c:v>-0.52591268424735593</c:v>
                </c:pt>
                <c:pt idx="35">
                  <c:v>-0.5040771577377674</c:v>
                </c:pt>
                <c:pt idx="36">
                  <c:v>-0.48222940619202254</c:v>
                </c:pt>
                <c:pt idx="37">
                  <c:v>-0.46043490449608077</c:v>
                </c:pt>
                <c:pt idx="38">
                  <c:v>-0.45778882186824965</c:v>
                </c:pt>
                <c:pt idx="39">
                  <c:v>-0.438758649318855</c:v>
                </c:pt>
                <c:pt idx="40">
                  <c:v>-0.4172645781878358</c:v>
                </c:pt>
                <c:pt idx="41">
                  <c:v>-0.39601500438515025</c:v>
                </c:pt>
                <c:pt idx="42">
                  <c:v>-0.37507007589770752</c:v>
                </c:pt>
                <c:pt idx="43">
                  <c:v>-0.37507007589680325</c:v>
                </c:pt>
                <c:pt idx="44">
                  <c:v>-0.35448726635831035</c:v>
                </c:pt>
                <c:pt idx="45">
                  <c:v>-0.33432090501806305</c:v>
                </c:pt>
                <c:pt idx="46">
                  <c:v>-0.31462175219199029</c:v>
                </c:pt>
                <c:pt idx="47">
                  <c:v>-0.31026346590217901</c:v>
                </c:pt>
                <c:pt idx="48">
                  <c:v>-0.29543662555707706</c:v>
                </c:pt>
                <c:pt idx="49">
                  <c:v>-0.27680808178223965</c:v>
                </c:pt>
                <c:pt idx="50">
                  <c:v>-0.25877415678144278</c:v>
                </c:pt>
                <c:pt idx="51">
                  <c:v>-0.2587741567824452</c:v>
                </c:pt>
                <c:pt idx="52">
                  <c:v>-0.24136816686129925</c:v>
                </c:pt>
                <c:pt idx="53">
                  <c:v>-0.22461857178633624</c:v>
                </c:pt>
                <c:pt idx="54">
                  <c:v>-0.21874156804084818</c:v>
                </c:pt>
                <c:pt idx="55">
                  <c:v>-0.20854889975563606</c:v>
                </c:pt>
                <c:pt idx="56">
                  <c:v>-0.19317773312692535</c:v>
                </c:pt>
                <c:pt idx="57">
                  <c:v>-0.18285667319041274</c:v>
                </c:pt>
                <c:pt idx="58">
                  <c:v>-0.17851875272328283</c:v>
                </c:pt>
                <c:pt idx="59">
                  <c:v>-0.16458083763008488</c:v>
                </c:pt>
                <c:pt idx="60">
                  <c:v>-0.15600219944955238</c:v>
                </c:pt>
                <c:pt idx="61">
                  <c:v>-0.15136821650270421</c:v>
                </c:pt>
                <c:pt idx="62">
                  <c:v>-0.13888066576847999</c:v>
                </c:pt>
                <c:pt idx="63">
                  <c:v>-0.13626416128327287</c:v>
                </c:pt>
                <c:pt idx="64">
                  <c:v>-0.12711374940131132</c:v>
                </c:pt>
                <c:pt idx="65">
                  <c:v>-0.11605909461844134</c:v>
                </c:pt>
                <c:pt idx="66">
                  <c:v>-0.1160590946175291</c:v>
                </c:pt>
                <c:pt idx="67">
                  <c:v>-0.10570469742532965</c:v>
                </c:pt>
                <c:pt idx="68">
                  <c:v>-9.6035251848790373E-2</c:v>
                </c:pt>
                <c:pt idx="69">
                  <c:v>-9.6035251847775033E-2</c:v>
                </c:pt>
                <c:pt idx="70">
                  <c:v>-8.7032496589838554E-2</c:v>
                </c:pt>
                <c:pt idx="71">
                  <c:v>-8.7032496589907138E-2</c:v>
                </c:pt>
                <c:pt idx="72">
                  <c:v>-7.8675572981741104E-2</c:v>
                </c:pt>
                <c:pt idx="73">
                  <c:v>-7.1105992567770462E-2</c:v>
                </c:pt>
                <c:pt idx="74">
                  <c:v>-7.0941388297345878E-2</c:v>
                </c:pt>
                <c:pt idx="75">
                  <c:v>-6.3804978800067857E-2</c:v>
                </c:pt>
                <c:pt idx="76">
                  <c:v>-6.3804978800386172E-2</c:v>
                </c:pt>
                <c:pt idx="77">
                  <c:v>-5.7239867325459312E-2</c:v>
                </c:pt>
                <c:pt idx="78">
                  <c:v>-5.6753060404547348E-2</c:v>
                </c:pt>
                <c:pt idx="79">
                  <c:v>-5.1218410660936513E-2</c:v>
                </c:pt>
                <c:pt idx="80">
                  <c:v>-4.6303139775809403E-2</c:v>
                </c:pt>
                <c:pt idx="81">
                  <c:v>-4.5712132538185388E-2</c:v>
                </c:pt>
                <c:pt idx="82">
                  <c:v>-4.0692038633876819E-2</c:v>
                </c:pt>
                <c:pt idx="83">
                  <c:v>-4.069203863340147E-2</c:v>
                </c:pt>
                <c:pt idx="84">
                  <c:v>-3.6128910578851238E-2</c:v>
                </c:pt>
                <c:pt idx="85">
                  <c:v>-3.6128910579093489E-2</c:v>
                </c:pt>
                <c:pt idx="86">
                  <c:v>-3.1993576593952903E-2</c:v>
                </c:pt>
                <c:pt idx="87">
                  <c:v>-3.1993576594092854E-2</c:v>
                </c:pt>
                <c:pt idx="88">
                  <c:v>-2.8257156981475049E-2</c:v>
                </c:pt>
                <c:pt idx="89">
                  <c:v>-2.8257156981419625E-2</c:v>
                </c:pt>
                <c:pt idx="90">
                  <c:v>-2.4891283293475282E-2</c:v>
                </c:pt>
                <c:pt idx="91">
                  <c:v>-2.4891283293636671E-2</c:v>
                </c:pt>
                <c:pt idx="92">
                  <c:v>-2.1868290557872757E-2</c:v>
                </c:pt>
                <c:pt idx="93">
                  <c:v>-2.1868290557856388E-2</c:v>
                </c:pt>
                <c:pt idx="94">
                  <c:v>-1.9161382458848717E-2</c:v>
                </c:pt>
                <c:pt idx="95">
                  <c:v>-1.9161382458768403E-2</c:v>
                </c:pt>
                <c:pt idx="96">
                  <c:v>-1.6744769846265831E-2</c:v>
                </c:pt>
                <c:pt idx="97">
                  <c:v>-1.674476984610291E-2</c:v>
                </c:pt>
                <c:pt idx="98">
                  <c:v>-1.4593783357977735E-2</c:v>
                </c:pt>
                <c:pt idx="99">
                  <c:v>-1.4593783358020055E-2</c:v>
                </c:pt>
                <c:pt idx="100">
                  <c:v>-1.2684961300284497E-2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F8-4FA0-BCBA-3F73360E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6524943"/>
        <c:axId val="876523503"/>
      </c:lineChart>
      <c:catAx>
        <c:axId val="876524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Stock</a:t>
                </a:r>
                <a:r>
                  <a:rPr lang="fr-FR" baseline="0"/>
                  <a:t> price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523503"/>
        <c:crosses val="autoZero"/>
        <c:auto val="1"/>
        <c:lblAlgn val="ctr"/>
        <c:lblOffset val="100"/>
        <c:noMultiLvlLbl val="0"/>
      </c:catAx>
      <c:valAx>
        <c:axId val="87652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Valeur</a:t>
                </a:r>
                <a:r>
                  <a:rPr lang="fr-FR" baseline="0"/>
                  <a:t> delta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524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Gamma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'Greeks Analysis'!$C$1</c:f>
              <c:strCache>
                <c:ptCount val="1"/>
                <c:pt idx="0">
                  <c:v>Gamma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'Greeks Analysis'!$A$2:$A$102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cat>
          <c:val>
            <c:numRef>
              <c:f>'Greeks Analysis'!$C$2:$C$102</c:f>
              <c:numCache>
                <c:formatCode>General</c:formatCode>
                <c:ptCount val="101"/>
                <c:pt idx="0">
                  <c:v>3.4519359539172002E-3</c:v>
                </c:pt>
                <c:pt idx="1">
                  <c:v>3.9272388994207354E-3</c:v>
                </c:pt>
                <c:pt idx="2">
                  <c:v>4.5940096975801877E-3</c:v>
                </c:pt>
                <c:pt idx="3">
                  <c:v>5.0646612279829969E-3</c:v>
                </c:pt>
                <c:pt idx="4">
                  <c:v>5.7464423568325644E-3</c:v>
                </c:pt>
                <c:pt idx="5">
                  <c:v>6.4960415803822745E-3</c:v>
                </c:pt>
                <c:pt idx="6">
                  <c:v>7.0436200815853977E-3</c:v>
                </c:pt>
                <c:pt idx="7">
                  <c:v>7.7449623897567453E-3</c:v>
                </c:pt>
                <c:pt idx="8">
                  <c:v>8.6350762504380923E-3</c:v>
                </c:pt>
                <c:pt idx="9">
                  <c:v>9.354728141305467E-3</c:v>
                </c:pt>
                <c:pt idx="10">
                  <c:v>9.9570231063294858E-3</c:v>
                </c:pt>
                <c:pt idx="11">
                  <c:v>1.0621680702433516E-2</c:v>
                </c:pt>
                <c:pt idx="12">
                  <c:v>1.1427541537192861E-2</c:v>
                </c:pt>
                <c:pt idx="13">
                  <c:v>1.2309256132951224E-2</c:v>
                </c:pt>
                <c:pt idx="14">
                  <c:v>1.3162939268714783E-2</c:v>
                </c:pt>
                <c:pt idx="15">
                  <c:v>1.3749966662203406E-2</c:v>
                </c:pt>
                <c:pt idx="16">
                  <c:v>1.4317644647900645E-2</c:v>
                </c:pt>
                <c:pt idx="17">
                  <c:v>1.4863360512984022E-2</c:v>
                </c:pt>
                <c:pt idx="18">
                  <c:v>1.5384737205268785E-2</c:v>
                </c:pt>
                <c:pt idx="19">
                  <c:v>1.5879654223786923E-2</c:v>
                </c:pt>
                <c:pt idx="20">
                  <c:v>1.6346262435245867E-2</c:v>
                </c:pt>
                <c:pt idx="21">
                  <c:v>1.6782992550507695E-2</c:v>
                </c:pt>
                <c:pt idx="22">
                  <c:v>1.7194288377575116E-2</c:v>
                </c:pt>
                <c:pt idx="23">
                  <c:v>1.7561946675064728E-2</c:v>
                </c:pt>
                <c:pt idx="24">
                  <c:v>1.7902418845748395E-2</c:v>
                </c:pt>
                <c:pt idx="25">
                  <c:v>1.8209483459311032E-2</c:v>
                </c:pt>
                <c:pt idx="26">
                  <c:v>1.8482881810329029E-2</c:v>
                </c:pt>
                <c:pt idx="27">
                  <c:v>1.8722562426349131E-2</c:v>
                </c:pt>
                <c:pt idx="28">
                  <c:v>1.8928653776619109E-2</c:v>
                </c:pt>
                <c:pt idx="29">
                  <c:v>1.9101435025075834E-2</c:v>
                </c:pt>
                <c:pt idx="30">
                  <c:v>1.9241305903696659E-2</c:v>
                </c:pt>
                <c:pt idx="31">
                  <c:v>1.9272680152650278E-2</c:v>
                </c:pt>
                <c:pt idx="32">
                  <c:v>1.9008444911933483E-2</c:v>
                </c:pt>
                <c:pt idx="33">
                  <c:v>1.8685065928736484E-2</c:v>
                </c:pt>
                <c:pt idx="34">
                  <c:v>1.8441820775431071E-2</c:v>
                </c:pt>
                <c:pt idx="35">
                  <c:v>1.8267871381888599E-2</c:v>
                </c:pt>
                <c:pt idx="36">
                  <c:v>1.8232023710795974E-2</c:v>
                </c:pt>
                <c:pt idx="37">
                  <c:v>1.8170936363074989E-2</c:v>
                </c:pt>
                <c:pt idx="38">
                  <c:v>1.793627852653483E-2</c:v>
                </c:pt>
                <c:pt idx="39">
                  <c:v>1.7329702594434834E-2</c:v>
                </c:pt>
                <c:pt idx="40">
                  <c:v>1.6864512203769146E-2</c:v>
                </c:pt>
                <c:pt idx="41">
                  <c:v>1.6624839474207207E-2</c:v>
                </c:pt>
                <c:pt idx="42">
                  <c:v>1.6469994244435602E-2</c:v>
                </c:pt>
                <c:pt idx="43">
                  <c:v>1.6116499151458435E-2</c:v>
                </c:pt>
                <c:pt idx="44">
                  <c:v>1.5381615675392042E-2</c:v>
                </c:pt>
                <c:pt idx="45">
                  <c:v>1.4950947070792513E-2</c:v>
                </c:pt>
                <c:pt idx="46">
                  <c:v>1.4752955959380223E-2</c:v>
                </c:pt>
                <c:pt idx="47">
                  <c:v>1.4453734637005658E-2</c:v>
                </c:pt>
                <c:pt idx="48">
                  <c:v>1.3676773717880054E-2</c:v>
                </c:pt>
                <c:pt idx="49">
                  <c:v>1.3249215066007323E-2</c:v>
                </c:pt>
                <c:pt idx="50">
                  <c:v>1.302780315878607E-2</c:v>
                </c:pt>
                <c:pt idx="51">
                  <c:v>1.2548619369584154E-2</c:v>
                </c:pt>
                <c:pt idx="52">
                  <c:v>1.1895132390710968E-2</c:v>
                </c:pt>
                <c:pt idx="53">
                  <c:v>1.1593269631725099E-2</c:v>
                </c:pt>
                <c:pt idx="54">
                  <c:v>1.1328419762854713E-2</c:v>
                </c:pt>
                <c:pt idx="55">
                  <c:v>1.0604097533810287E-2</c:v>
                </c:pt>
                <c:pt idx="56">
                  <c:v>1.0254354079076431E-2</c:v>
                </c:pt>
                <c:pt idx="57">
                  <c:v>1.0030412789711693E-2</c:v>
                </c:pt>
                <c:pt idx="58">
                  <c:v>9.3648329252704245E-3</c:v>
                </c:pt>
                <c:pt idx="59">
                  <c:v>9.021575935540916E-3</c:v>
                </c:pt>
                <c:pt idx="60">
                  <c:v>8.8085700860969281E-3</c:v>
                </c:pt>
                <c:pt idx="61">
                  <c:v>8.1930152038567922E-3</c:v>
                </c:pt>
                <c:pt idx="62">
                  <c:v>7.8992108144985817E-3</c:v>
                </c:pt>
                <c:pt idx="63">
                  <c:v>7.6523485918113575E-3</c:v>
                </c:pt>
                <c:pt idx="64">
                  <c:v>7.1159359672806318E-3</c:v>
                </c:pt>
                <c:pt idx="65">
                  <c:v>6.8865946822811051E-3</c:v>
                </c:pt>
                <c:pt idx="66">
                  <c:v>6.5475127731630389E-3</c:v>
                </c:pt>
                <c:pt idx="67">
                  <c:v>6.1463087295662508E-3</c:v>
                </c:pt>
                <c:pt idx="68">
                  <c:v>5.9794651752294878E-3</c:v>
                </c:pt>
                <c:pt idx="69">
                  <c:v>5.5445159126722345E-3</c:v>
                </c:pt>
                <c:pt idx="70">
                  <c:v>5.3270733648557783E-3</c:v>
                </c:pt>
                <c:pt idx="71">
                  <c:v>5.085213832615702E-3</c:v>
                </c:pt>
                <c:pt idx="72">
                  <c:v>4.7372371188575896E-3</c:v>
                </c:pt>
                <c:pt idx="73">
                  <c:v>4.5999646165610121E-3</c:v>
                </c:pt>
                <c:pt idx="74">
                  <c:v>4.2489478266123648E-3</c:v>
                </c:pt>
                <c:pt idx="75">
                  <c:v>4.0854945586090256E-3</c:v>
                </c:pt>
                <c:pt idx="76">
                  <c:v>3.8436075995849531E-3</c:v>
                </c:pt>
                <c:pt idx="77">
                  <c:v>3.6234719655703876E-3</c:v>
                </c:pt>
                <c:pt idx="78">
                  <c:v>3.4784615111755467E-3</c:v>
                </c:pt>
                <c:pt idx="79">
                  <c:v>3.2125097616869649E-3</c:v>
                </c:pt>
                <c:pt idx="80">
                  <c:v>3.1101492256883599E-3</c:v>
                </c:pt>
                <c:pt idx="81">
                  <c:v>2.8604822228876533E-3</c:v>
                </c:pt>
                <c:pt idx="82">
                  <c:v>2.7528959366992902E-3</c:v>
                </c:pt>
                <c:pt idx="83">
                  <c:v>2.5433712219991604E-3</c:v>
                </c:pt>
                <c:pt idx="84">
                  <c:v>2.4343788440024882E-3</c:v>
                </c:pt>
                <c:pt idx="85">
                  <c:v>2.2739564160869489E-3</c:v>
                </c:pt>
                <c:pt idx="86">
                  <c:v>2.1509391723877266E-3</c:v>
                </c:pt>
                <c:pt idx="87">
                  <c:v>2.0268019008574632E-3</c:v>
                </c:pt>
                <c:pt idx="88">
                  <c:v>1.8991456461351129E-3</c:v>
                </c:pt>
                <c:pt idx="89">
                  <c:v>1.8011483739014224E-3</c:v>
                </c:pt>
                <c:pt idx="90">
                  <c:v>1.6758031786542724E-3</c:v>
                </c:pt>
                <c:pt idx="91">
                  <c:v>1.5960508641886817E-3</c:v>
                </c:pt>
                <c:pt idx="92">
                  <c:v>1.4779564564523539E-3</c:v>
                </c:pt>
                <c:pt idx="93">
                  <c:v>1.410428504418054E-3</c:v>
                </c:pt>
                <c:pt idx="94">
                  <c:v>1.302889100775949E-3</c:v>
                </c:pt>
                <c:pt idx="95">
                  <c:v>1.2431078082787857E-3</c:v>
                </c:pt>
                <c:pt idx="96">
                  <c:v>1.1481190917314308E-3</c:v>
                </c:pt>
                <c:pt idx="97">
                  <c:v>1.0928597520692602E-3</c:v>
                </c:pt>
                <c:pt idx="98">
                  <c:v>1.0113911234967759E-3</c:v>
                </c:pt>
                <c:pt idx="99">
                  <c:v>9.5843103464959866E-4</c:v>
                </c:pt>
                <c:pt idx="100">
                  <c:v>8.9066652837022726E-4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30-4BC1-9B04-0A2E6F046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6524943"/>
        <c:axId val="876523503"/>
      </c:lineChart>
      <c:catAx>
        <c:axId val="876524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523503"/>
        <c:crosses val="autoZero"/>
        <c:auto val="1"/>
        <c:lblAlgn val="ctr"/>
        <c:lblOffset val="100"/>
        <c:noMultiLvlLbl val="0"/>
      </c:catAx>
      <c:valAx>
        <c:axId val="87652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524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Vega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054875292034642"/>
          <c:y val="0.16511324823474649"/>
          <c:w val="0.87442048728066335"/>
          <c:h val="0.61778510456918845"/>
        </c:manualLayout>
      </c:layout>
      <c:lineChart>
        <c:grouping val="standard"/>
        <c:varyColors val="0"/>
        <c:ser>
          <c:idx val="1"/>
          <c:order val="0"/>
          <c:tx>
            <c:strRef>
              <c:f>'Greeks Analysis'!$D$1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'Greeks Analysis'!$A$2:$A$102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cat>
          <c:val>
            <c:numRef>
              <c:f>'Greeks Analysis'!$D$2:$D$102</c:f>
              <c:numCache>
                <c:formatCode>General</c:formatCode>
                <c:ptCount val="101"/>
                <c:pt idx="0">
                  <c:v>1.9465256400273745E-2</c:v>
                </c:pt>
                <c:pt idx="1">
                  <c:v>2.3681477283929553E-2</c:v>
                </c:pt>
                <c:pt idx="2">
                  <c:v>2.7912844273714654E-2</c:v>
                </c:pt>
                <c:pt idx="3">
                  <c:v>3.2690094859908925E-2</c:v>
                </c:pt>
                <c:pt idx="4">
                  <c:v>3.8571273478744672E-2</c:v>
                </c:pt>
                <c:pt idx="5">
                  <c:v>4.4359594894146426E-2</c:v>
                </c:pt>
                <c:pt idx="6">
                  <c:v>5.0720885457813836E-2</c:v>
                </c:pt>
                <c:pt idx="7">
                  <c:v>5.8341930720683166E-2</c:v>
                </c:pt>
                <c:pt idx="8">
                  <c:v>6.5897358106770554E-2</c:v>
                </c:pt>
                <c:pt idx="9">
                  <c:v>7.4032172094124604E-2</c:v>
                </c:pt>
                <c:pt idx="10">
                  <c:v>8.2740323242774139E-2</c:v>
                </c:pt>
                <c:pt idx="11">
                  <c:v>9.1617619498883585E-2</c:v>
                </c:pt>
                <c:pt idx="12">
                  <c:v>0.10119733027899258</c:v>
                </c:pt>
                <c:pt idx="13">
                  <c:v>0.11122855923214914</c:v>
                </c:pt>
                <c:pt idx="14">
                  <c:v>0.12166705502330899</c:v>
                </c:pt>
                <c:pt idx="15">
                  <c:v>0.13246003835046949</c:v>
                </c:pt>
                <c:pt idx="16">
                  <c:v>0.14354634806243638</c:v>
                </c:pt>
                <c:pt idx="17">
                  <c:v>0.15485675651609299</c:v>
                </c:pt>
                <c:pt idx="18">
                  <c:v>0.16588781960831511</c:v>
                </c:pt>
                <c:pt idx="19">
                  <c:v>0.17637710347755231</c:v>
                </c:pt>
                <c:pt idx="20">
                  <c:v>0.1869481437941225</c:v>
                </c:pt>
                <c:pt idx="21">
                  <c:v>0.19753889128079649</c:v>
                </c:pt>
                <c:pt idx="22">
                  <c:v>0.20808356955190632</c:v>
                </c:pt>
                <c:pt idx="23">
                  <c:v>0.2185132977684674</c:v>
                </c:pt>
                <c:pt idx="24">
                  <c:v>0.22875679509519031</c:v>
                </c:pt>
                <c:pt idx="25">
                  <c:v>0.23874115791250361</c:v>
                </c:pt>
                <c:pt idx="26">
                  <c:v>0.24839269869842973</c:v>
                </c:pt>
                <c:pt idx="27">
                  <c:v>0.25763783363598414</c:v>
                </c:pt>
                <c:pt idx="28">
                  <c:v>0.26640400439145218</c:v>
                </c:pt>
                <c:pt idx="29">
                  <c:v>0.27462061817645278</c:v>
                </c:pt>
                <c:pt idx="30">
                  <c:v>0.28114331865367426</c:v>
                </c:pt>
                <c:pt idx="31">
                  <c:v>0.28593383632284031</c:v>
                </c:pt>
                <c:pt idx="32">
                  <c:v>0.29091657086505052</c:v>
                </c:pt>
                <c:pt idx="33">
                  <c:v>0.29710901517900368</c:v>
                </c:pt>
                <c:pt idx="34">
                  <c:v>0.30250237234897703</c:v>
                </c:pt>
                <c:pt idx="35">
                  <c:v>0.30704933501082365</c:v>
                </c:pt>
                <c:pt idx="36">
                  <c:v>0.31070967163609531</c:v>
                </c:pt>
                <c:pt idx="37">
                  <c:v>0.31345081923611673</c:v>
                </c:pt>
                <c:pt idx="38">
                  <c:v>0.31524753893780044</c:v>
                </c:pt>
                <c:pt idx="39">
                  <c:v>0.31703265573300143</c:v>
                </c:pt>
                <c:pt idx="40">
                  <c:v>0.31785304893025668</c:v>
                </c:pt>
                <c:pt idx="41">
                  <c:v>0.3177017231710737</c:v>
                </c:pt>
                <c:pt idx="42">
                  <c:v>0.31658057496660241</c:v>
                </c:pt>
                <c:pt idx="43">
                  <c:v>0.3182969080150313</c:v>
                </c:pt>
                <c:pt idx="44">
                  <c:v>0.31618447967091523</c:v>
                </c:pt>
                <c:pt idx="45">
                  <c:v>0.31312807137501153</c:v>
                </c:pt>
                <c:pt idx="46">
                  <c:v>0.30915581518186208</c:v>
                </c:pt>
                <c:pt idx="47">
                  <c:v>0.30854783119082363</c:v>
                </c:pt>
                <c:pt idx="48">
                  <c:v>0.30586651537217957</c:v>
                </c:pt>
                <c:pt idx="49">
                  <c:v>0.3001307414583545</c:v>
                </c:pt>
                <c:pt idx="50">
                  <c:v>0.2937471904815272</c:v>
                </c:pt>
                <c:pt idx="51">
                  <c:v>0.29383698785770473</c:v>
                </c:pt>
                <c:pt idx="52">
                  <c:v>0.28776107433987796</c:v>
                </c:pt>
                <c:pt idx="53">
                  <c:v>0.2797793952948342</c:v>
                </c:pt>
                <c:pt idx="54">
                  <c:v>0.27661139228509324</c:v>
                </c:pt>
                <c:pt idx="55">
                  <c:v>0.27249157072821228</c:v>
                </c:pt>
                <c:pt idx="56">
                  <c:v>0.26331136743494943</c:v>
                </c:pt>
                <c:pt idx="57">
                  <c:v>0.258468325468308</c:v>
                </c:pt>
                <c:pt idx="58">
                  <c:v>0.25484952001420158</c:v>
                </c:pt>
                <c:pt idx="59">
                  <c:v>0.24475799671269094</c:v>
                </c:pt>
                <c:pt idx="60">
                  <c:v>0.23968086292182322</c:v>
                </c:pt>
                <c:pt idx="61">
                  <c:v>0.23541488146788936</c:v>
                </c:pt>
                <c:pt idx="62">
                  <c:v>0.22471236636670477</c:v>
                </c:pt>
                <c:pt idx="63">
                  <c:v>0.22051702445803523</c:v>
                </c:pt>
                <c:pt idx="64">
                  <c:v>0.21478917544274267</c:v>
                </c:pt>
                <c:pt idx="65">
                  <c:v>0.20580539801506159</c:v>
                </c:pt>
                <c:pt idx="66">
                  <c:v>0.20123835653324607</c:v>
                </c:pt>
                <c:pt idx="67">
                  <c:v>0.19356541289876339</c:v>
                </c:pt>
                <c:pt idx="68">
                  <c:v>0.18720015872958151</c:v>
                </c:pt>
                <c:pt idx="69">
                  <c:v>0.18209758047145996</c:v>
                </c:pt>
                <c:pt idx="70">
                  <c:v>0.1738387823696228</c:v>
                </c:pt>
                <c:pt idx="71">
                  <c:v>0.16882147609429965</c:v>
                </c:pt>
                <c:pt idx="72">
                  <c:v>0.16214482180952539</c:v>
                </c:pt>
                <c:pt idx="73">
                  <c:v>0.15624010985353554</c:v>
                </c:pt>
                <c:pt idx="74">
                  <c:v>0.15089314626164119</c:v>
                </c:pt>
                <c:pt idx="75">
                  <c:v>0.14434652571668494</c:v>
                </c:pt>
                <c:pt idx="76">
                  <c:v>0.13915214379407503</c:v>
                </c:pt>
                <c:pt idx="77">
                  <c:v>0.13312962622934754</c:v>
                </c:pt>
                <c:pt idx="78">
                  <c:v>0.12809857934260138</c:v>
                </c:pt>
                <c:pt idx="79">
                  <c:v>0.12276685298620538</c:v>
                </c:pt>
                <c:pt idx="80">
                  <c:v>0.11771569342252686</c:v>
                </c:pt>
                <c:pt idx="81">
                  <c:v>0.11258921760518625</c:v>
                </c:pt>
                <c:pt idx="82">
                  <c:v>0.10798407382179576</c:v>
                </c:pt>
                <c:pt idx="83">
                  <c:v>0.10306811332641608</c:v>
                </c:pt>
                <c:pt idx="84">
                  <c:v>9.8882179408964266E-2</c:v>
                </c:pt>
                <c:pt idx="85">
                  <c:v>9.4180303133946652E-2</c:v>
                </c:pt>
                <c:pt idx="86">
                  <c:v>9.0386816061122088E-2</c:v>
                </c:pt>
                <c:pt idx="87">
                  <c:v>8.5901098331946424E-2</c:v>
                </c:pt>
                <c:pt idx="88">
                  <c:v>8.2473563191891752E-2</c:v>
                </c:pt>
                <c:pt idx="89">
                  <c:v>7.8204759810327151E-2</c:v>
                </c:pt>
                <c:pt idx="90">
                  <c:v>7.5101169242640153E-2</c:v>
                </c:pt>
                <c:pt idx="91">
                  <c:v>7.1064851713521004E-2</c:v>
                </c:pt>
                <c:pt idx="92">
                  <c:v>6.8064209970488676E-2</c:v>
                </c:pt>
                <c:pt idx="93">
                  <c:v>6.4454549309242215E-2</c:v>
                </c:pt>
                <c:pt idx="94">
                  <c:v>6.1641875558180015E-2</c:v>
                </c:pt>
                <c:pt idx="95">
                  <c:v>5.8346903674799749E-2</c:v>
                </c:pt>
                <c:pt idx="96">
                  <c:v>5.5782017335757245E-2</c:v>
                </c:pt>
                <c:pt idx="97">
                  <c:v>5.2715066421845397E-2</c:v>
                </c:pt>
                <c:pt idx="98">
                  <c:v>5.0436447300759857E-2</c:v>
                </c:pt>
                <c:pt idx="99">
                  <c:v>4.7532478064907041E-2</c:v>
                </c:pt>
                <c:pt idx="100">
                  <c:v>4.5560869530710729E-2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2-4FD5-94EF-0F6EA6B88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6524943"/>
        <c:axId val="876523503"/>
      </c:lineChart>
      <c:catAx>
        <c:axId val="876524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523503"/>
        <c:crosses val="autoZero"/>
        <c:auto val="1"/>
        <c:lblAlgn val="ctr"/>
        <c:lblOffset val="100"/>
        <c:noMultiLvlLbl val="0"/>
      </c:catAx>
      <c:valAx>
        <c:axId val="87652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6524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'Greeks Analysis'!$E$1</c:f>
              <c:strCache>
                <c:ptCount val="1"/>
                <c:pt idx="0">
                  <c:v>Volga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'Greeks Analysis'!$A$2:$A$102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cat>
          <c:val>
            <c:numRef>
              <c:f>'Greeks Analysis'!$E$2:$E$102</c:f>
              <c:numCache>
                <c:formatCode>General</c:formatCode>
                <c:ptCount val="101"/>
                <c:pt idx="0">
                  <c:v>4.1418046009539466E-2</c:v>
                </c:pt>
                <c:pt idx="1">
                  <c:v>4.3888765968112864E-2</c:v>
                </c:pt>
                <c:pt idx="2">
                  <c:v>4.6664536926009248E-2</c:v>
                </c:pt>
                <c:pt idx="3">
                  <c:v>4.9176188874689331E-2</c:v>
                </c:pt>
                <c:pt idx="4">
                  <c:v>5.0819368800738118E-2</c:v>
                </c:pt>
                <c:pt idx="5">
                  <c:v>5.2736700323293917E-2</c:v>
                </c:pt>
                <c:pt idx="6">
                  <c:v>5.4200528926500624E-2</c:v>
                </c:pt>
                <c:pt idx="7">
                  <c:v>5.4454934910342701E-2</c:v>
                </c:pt>
                <c:pt idx="8">
                  <c:v>5.4749392213722103E-2</c:v>
                </c:pt>
                <c:pt idx="9">
                  <c:v>5.4356958260353139E-2</c:v>
                </c:pt>
                <c:pt idx="10">
                  <c:v>5.4940989409107743E-2</c:v>
                </c:pt>
                <c:pt idx="11">
                  <c:v>5.5792766612018596E-2</c:v>
                </c:pt>
                <c:pt idx="12">
                  <c:v>5.6135822118331902E-2</c:v>
                </c:pt>
                <c:pt idx="13">
                  <c:v>5.5838784969580502E-2</c:v>
                </c:pt>
                <c:pt idx="14">
                  <c:v>5.2555501686175177E-2</c:v>
                </c:pt>
                <c:pt idx="15">
                  <c:v>4.8324934871768477E-2</c:v>
                </c:pt>
                <c:pt idx="16">
                  <c:v>4.5627165574305906E-2</c:v>
                </c:pt>
                <c:pt idx="17">
                  <c:v>4.4519371935411556E-2</c:v>
                </c:pt>
                <c:pt idx="18">
                  <c:v>4.3589048559091736E-2</c:v>
                </c:pt>
                <c:pt idx="19">
                  <c:v>4.0013600261307403E-2</c:v>
                </c:pt>
                <c:pt idx="20">
                  <c:v>3.4042190414773188E-2</c:v>
                </c:pt>
                <c:pt idx="21">
                  <c:v>3.3183685981676092E-2</c:v>
                </c:pt>
                <c:pt idx="22">
                  <c:v>3.205562698956399E-2</c:v>
                </c:pt>
                <c:pt idx="23">
                  <c:v>2.8080689288671579E-2</c:v>
                </c:pt>
                <c:pt idx="24">
                  <c:v>2.2111273472884108E-2</c:v>
                </c:pt>
                <c:pt idx="25">
                  <c:v>2.072916251239576E-2</c:v>
                </c:pt>
                <c:pt idx="26">
                  <c:v>1.9148999622158769E-2</c:v>
                </c:pt>
                <c:pt idx="27">
                  <c:v>1.1658692376231627E-2</c:v>
                </c:pt>
                <c:pt idx="28">
                  <c:v>1.038734959753107E-2</c:v>
                </c:pt>
                <c:pt idx="29">
                  <c:v>9.0009836829061385E-3</c:v>
                </c:pt>
                <c:pt idx="30">
                  <c:v>4.2688598934450539E-3</c:v>
                </c:pt>
                <c:pt idx="31">
                  <c:v>5.5960038206563922E-3</c:v>
                </c:pt>
                <c:pt idx="32">
                  <c:v>5.9503347925904393E-3</c:v>
                </c:pt>
                <c:pt idx="33">
                  <c:v>1.5631454271805012E-3</c:v>
                </c:pt>
                <c:pt idx="34">
                  <c:v>6.7901000933012767E-4</c:v>
                </c:pt>
                <c:pt idx="35">
                  <c:v>-2.308239636885645E-4</c:v>
                </c:pt>
                <c:pt idx="36">
                  <c:v>-2.0928225388541222E-3</c:v>
                </c:pt>
                <c:pt idx="37">
                  <c:v>-2.112521354247221E-3</c:v>
                </c:pt>
                <c:pt idx="38">
                  <c:v>-2.1224123653720284E-3</c:v>
                </c:pt>
                <c:pt idx="39">
                  <c:v>-2.1363412112318514E-3</c:v>
                </c:pt>
                <c:pt idx="40">
                  <c:v>-2.1397471752759856E-3</c:v>
                </c:pt>
                <c:pt idx="41">
                  <c:v>-2.4019989238777129E-4</c:v>
                </c:pt>
                <c:pt idx="42">
                  <c:v>7.101882154909589E-4</c:v>
                </c:pt>
                <c:pt idx="43">
                  <c:v>7.1532106925342731E-4</c:v>
                </c:pt>
                <c:pt idx="44">
                  <c:v>1.661863743676939E-3</c:v>
                </c:pt>
                <c:pt idx="45">
                  <c:v>3.6690152496632322E-3</c:v>
                </c:pt>
                <c:pt idx="46">
                  <c:v>8.2217078490280926E-3</c:v>
                </c:pt>
                <c:pt idx="47">
                  <c:v>5.7294131834080275E-3</c:v>
                </c:pt>
                <c:pt idx="48">
                  <c:v>1.0025032052614513E-2</c:v>
                </c:pt>
                <c:pt idx="49">
                  <c:v>1.1703903241526703E-2</c:v>
                </c:pt>
                <c:pt idx="50">
                  <c:v>1.9658085347086462E-2</c:v>
                </c:pt>
                <c:pt idx="51">
                  <c:v>1.4584331191130673E-2</c:v>
                </c:pt>
                <c:pt idx="52">
                  <c:v>2.2183806689511698E-2</c:v>
                </c:pt>
                <c:pt idx="53">
                  <c:v>2.4292536432395817E-2</c:v>
                </c:pt>
                <c:pt idx="54">
                  <c:v>2.8934014693425603E-2</c:v>
                </c:pt>
                <c:pt idx="55">
                  <c:v>2.6337858404685388E-2</c:v>
                </c:pt>
                <c:pt idx="56">
                  <c:v>3.693882705109397E-2</c:v>
                </c:pt>
                <c:pt idx="57">
                  <c:v>3.4276026082851629E-2</c:v>
                </c:pt>
                <c:pt idx="58">
                  <c:v>3.9260667875630872E-2</c:v>
                </c:pt>
                <c:pt idx="59">
                  <c:v>4.111604439993588E-2</c:v>
                </c:pt>
                <c:pt idx="60">
                  <c:v>4.7502274991327642E-2</c:v>
                </c:pt>
                <c:pt idx="61">
                  <c:v>4.2866881466305351E-2</c:v>
                </c:pt>
                <c:pt idx="62">
                  <c:v>5.4820351468759743E-2</c:v>
                </c:pt>
                <c:pt idx="63">
                  <c:v>4.9518733482473376E-2</c:v>
                </c:pt>
                <c:pt idx="64">
                  <c:v>5.6438396100245036E-2</c:v>
                </c:pt>
                <c:pt idx="65">
                  <c:v>5.5986449622171364E-2</c:v>
                </c:pt>
                <c:pt idx="66">
                  <c:v>6.1101956444535421E-2</c:v>
                </c:pt>
                <c:pt idx="67">
                  <c:v>6.1747099525719884E-2</c:v>
                </c:pt>
                <c:pt idx="68">
                  <c:v>6.5746338209775823E-2</c:v>
                </c:pt>
                <c:pt idx="69">
                  <c:v>6.6529409390857275E-2</c:v>
                </c:pt>
                <c:pt idx="70">
                  <c:v>6.9284798778228129E-2</c:v>
                </c:pt>
                <c:pt idx="71">
                  <c:v>7.2911817275616242E-2</c:v>
                </c:pt>
                <c:pt idx="72">
                  <c:v>7.0805077118960558E-2</c:v>
                </c:pt>
                <c:pt idx="73">
                  <c:v>7.7662679606796292E-2</c:v>
                </c:pt>
                <c:pt idx="74">
                  <c:v>7.34854024181677E-2</c:v>
                </c:pt>
                <c:pt idx="75">
                  <c:v>7.905145666273139E-2</c:v>
                </c:pt>
                <c:pt idx="76">
                  <c:v>7.8568014888608761E-2</c:v>
                </c:pt>
                <c:pt idx="77">
                  <c:v>7.956921383452209E-2</c:v>
                </c:pt>
                <c:pt idx="78">
                  <c:v>8.2755805948056094E-2</c:v>
                </c:pt>
                <c:pt idx="79">
                  <c:v>7.9113942576783947E-2</c:v>
                </c:pt>
                <c:pt idx="80">
                  <c:v>8.4945804245534995E-2</c:v>
                </c:pt>
                <c:pt idx="81">
                  <c:v>8.2837711208741172E-2</c:v>
                </c:pt>
                <c:pt idx="82">
                  <c:v>8.3758546283129509E-2</c:v>
                </c:pt>
                <c:pt idx="83">
                  <c:v>8.5706757418572033E-2</c:v>
                </c:pt>
                <c:pt idx="84">
                  <c:v>8.2124886960607268E-2</c:v>
                </c:pt>
                <c:pt idx="85">
                  <c:v>8.7341409932583658E-2</c:v>
                </c:pt>
                <c:pt idx="86">
                  <c:v>8.4355633955440323E-2</c:v>
                </c:pt>
                <c:pt idx="87">
                  <c:v>8.4765175237533963E-2</c:v>
                </c:pt>
                <c:pt idx="88">
                  <c:v>8.5813415233449597E-2</c:v>
                </c:pt>
                <c:pt idx="89">
                  <c:v>8.3442009996930744E-2</c:v>
                </c:pt>
                <c:pt idx="90">
                  <c:v>8.5435641143216945E-2</c:v>
                </c:pt>
                <c:pt idx="91">
                  <c:v>8.448566524960005E-2</c:v>
                </c:pt>
                <c:pt idx="92">
                  <c:v>8.1930115763303224E-2</c:v>
                </c:pt>
                <c:pt idx="93">
                  <c:v>8.483052399922919E-2</c:v>
                </c:pt>
                <c:pt idx="94">
                  <c:v>8.2034611099157217E-2</c:v>
                </c:pt>
                <c:pt idx="95">
                  <c:v>8.1847571485916953E-2</c:v>
                </c:pt>
                <c:pt idx="96">
                  <c:v>8.1964413456953739E-2</c:v>
                </c:pt>
                <c:pt idx="97">
                  <c:v>7.9899975960483732E-2</c:v>
                </c:pt>
                <c:pt idx="98">
                  <c:v>8.0177994351945669E-2</c:v>
                </c:pt>
                <c:pt idx="99">
                  <c:v>7.9464899175165055E-2</c:v>
                </c:pt>
                <c:pt idx="100">
                  <c:v>7.675577964480837E-2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51-4CEF-953E-1B211E580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398783"/>
        <c:axId val="630405023"/>
      </c:lineChart>
      <c:catAx>
        <c:axId val="630398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405023"/>
        <c:crosses val="autoZero"/>
        <c:auto val="1"/>
        <c:lblAlgn val="ctr"/>
        <c:lblOffset val="100"/>
        <c:noMultiLvlLbl val="0"/>
      </c:catAx>
      <c:valAx>
        <c:axId val="63040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398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Vanna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'Greeks Analysis'!$F$1</c:f>
              <c:strCache>
                <c:ptCount val="1"/>
                <c:pt idx="0">
                  <c:v>Vanna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'Greeks Analysis'!$A$2:$A$102</c:f>
              <c:numCache>
                <c:formatCode>General</c:formatCode>
                <c:ptCount val="10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</c:numCache>
            </c:numRef>
          </c:cat>
          <c:val>
            <c:numRef>
              <c:f>'Greeks Analysis'!$F$2:$F$102</c:f>
              <c:numCache>
                <c:formatCode>General</c:formatCode>
                <c:ptCount val="101"/>
                <c:pt idx="0">
                  <c:v>0.36323027227638244</c:v>
                </c:pt>
                <c:pt idx="1">
                  <c:v>0.39676325967361414</c:v>
                </c:pt>
                <c:pt idx="2">
                  <c:v>0.44168811259058199</c:v>
                </c:pt>
                <c:pt idx="3">
                  <c:v>0.48790822503706466</c:v>
                </c:pt>
                <c:pt idx="4">
                  <c:v>0.58165176826371379</c:v>
                </c:pt>
                <c:pt idx="5">
                  <c:v>0.63965111518433038</c:v>
                </c:pt>
                <c:pt idx="6">
                  <c:v>0.67665120956699498</c:v>
                </c:pt>
                <c:pt idx="7">
                  <c:v>0.73921874491190165</c:v>
                </c:pt>
                <c:pt idx="8">
                  <c:v>0.77081641392111744</c:v>
                </c:pt>
                <c:pt idx="9">
                  <c:v>0.83644474422238246</c:v>
                </c:pt>
                <c:pt idx="10">
                  <c:v>0.85844710827457738</c:v>
                </c:pt>
                <c:pt idx="11">
                  <c:v>0.92518734140279069</c:v>
                </c:pt>
                <c:pt idx="12">
                  <c:v>0.93285942723655702</c:v>
                </c:pt>
                <c:pt idx="13">
                  <c:v>0.99842642850967245</c:v>
                </c:pt>
                <c:pt idx="14">
                  <c:v>1.024410715155244</c:v>
                </c:pt>
                <c:pt idx="15">
                  <c:v>1.0487678301293302</c:v>
                </c:pt>
                <c:pt idx="16">
                  <c:v>1.1113257579030462</c:v>
                </c:pt>
                <c:pt idx="17">
                  <c:v>1.1087180017797025</c:v>
                </c:pt>
                <c:pt idx="18">
                  <c:v>1.1248281147266554</c:v>
                </c:pt>
                <c:pt idx="19">
                  <c:v>1.1799410330296087</c:v>
                </c:pt>
                <c:pt idx="20">
                  <c:v>1.092558143525427</c:v>
                </c:pt>
                <c:pt idx="21">
                  <c:v>0.95949835047453413</c:v>
                </c:pt>
                <c:pt idx="22">
                  <c:v>0.99789271019748105</c:v>
                </c:pt>
                <c:pt idx="23">
                  <c:v>1.034740043465717</c:v>
                </c:pt>
                <c:pt idx="24">
                  <c:v>1.0697602463398441</c:v>
                </c:pt>
                <c:pt idx="25">
                  <c:v>1.1007503047830862</c:v>
                </c:pt>
                <c:pt idx="26">
                  <c:v>0.84788223299936405</c:v>
                </c:pt>
                <c:pt idx="27">
                  <c:v>0.76408718577469925</c:v>
                </c:pt>
                <c:pt idx="28">
                  <c:v>0.78068222848970981</c:v>
                </c:pt>
                <c:pt idx="29">
                  <c:v>0.795256491517634</c:v>
                </c:pt>
                <c:pt idx="30">
                  <c:v>0.8076844202954403</c:v>
                </c:pt>
                <c:pt idx="31">
                  <c:v>0.60103551835000835</c:v>
                </c:pt>
                <c:pt idx="32">
                  <c:v>0.6077079586074583</c:v>
                </c:pt>
                <c:pt idx="33">
                  <c:v>0.6126170805853135</c:v>
                </c:pt>
                <c:pt idx="34">
                  <c:v>0.61571916207211619</c:v>
                </c:pt>
                <c:pt idx="35">
                  <c:v>0.39864968864906514</c:v>
                </c:pt>
                <c:pt idx="36">
                  <c:v>0.39250429395203856</c:v>
                </c:pt>
                <c:pt idx="37">
                  <c:v>0.37418456739002726</c:v>
                </c:pt>
                <c:pt idx="38">
                  <c:v>0.17950524482057695</c:v>
                </c:pt>
                <c:pt idx="39">
                  <c:v>0.16312612922994729</c:v>
                </c:pt>
                <c:pt idx="40">
                  <c:v>0.17664944093493459</c:v>
                </c:pt>
                <c:pt idx="41">
                  <c:v>7.3858169900264697E-2</c:v>
                </c:pt>
                <c:pt idx="42">
                  <c:v>-3.6401031231384544E-2</c:v>
                </c:pt>
                <c:pt idx="43">
                  <c:v>-3.5771538054446127E-2</c:v>
                </c:pt>
                <c:pt idx="44">
                  <c:v>-0.16109087534595967</c:v>
                </c:pt>
                <c:pt idx="45">
                  <c:v>-0.23402831372183225</c:v>
                </c:pt>
                <c:pt idx="46">
                  <c:v>-0.22826429597143832</c:v>
                </c:pt>
                <c:pt idx="47">
                  <c:v>-0.4168977893565935</c:v>
                </c:pt>
                <c:pt idx="48">
                  <c:v>-0.40481419493366716</c:v>
                </c:pt>
                <c:pt idx="49">
                  <c:v>-0.39190445642987548</c:v>
                </c:pt>
                <c:pt idx="50">
                  <c:v>-0.56214340425981824</c:v>
                </c:pt>
                <c:pt idx="51">
                  <c:v>-0.47681364890813016</c:v>
                </c:pt>
                <c:pt idx="52">
                  <c:v>-0.48428890777522687</c:v>
                </c:pt>
                <c:pt idx="53">
                  <c:v>-0.52063570857509289</c:v>
                </c:pt>
                <c:pt idx="54">
                  <c:v>-0.49880117506758603</c:v>
                </c:pt>
                <c:pt idx="55">
                  <c:v>-0.64116687886632084</c:v>
                </c:pt>
                <c:pt idx="56">
                  <c:v>-0.61157879348136601</c:v>
                </c:pt>
                <c:pt idx="57">
                  <c:v>-0.73328117989961217</c:v>
                </c:pt>
                <c:pt idx="58">
                  <c:v>-0.58161580823979431</c:v>
                </c:pt>
                <c:pt idx="59">
                  <c:v>-0.58276490695340444</c:v>
                </c:pt>
                <c:pt idx="60">
                  <c:v>-0.6649471242575149</c:v>
                </c:pt>
                <c:pt idx="61">
                  <c:v>-0.62774814100747445</c:v>
                </c:pt>
                <c:pt idx="62">
                  <c:v>-0.72555525632022955</c:v>
                </c:pt>
                <c:pt idx="63">
                  <c:v>-0.59086628371734418</c:v>
                </c:pt>
                <c:pt idx="64">
                  <c:v>-0.68362413346280382</c:v>
                </c:pt>
                <c:pt idx="65">
                  <c:v>-0.6407064613160921</c:v>
                </c:pt>
                <c:pt idx="66">
                  <c:v>-0.72059164578189949</c:v>
                </c:pt>
                <c:pt idx="67">
                  <c:v>-0.59993054270395263</c:v>
                </c:pt>
                <c:pt idx="68">
                  <c:v>-0.67250312847247962</c:v>
                </c:pt>
                <c:pt idx="69">
                  <c:v>-0.62576700015405573</c:v>
                </c:pt>
                <c:pt idx="70">
                  <c:v>-0.6881933558037836</c:v>
                </c:pt>
                <c:pt idx="71">
                  <c:v>-0.58055617445715235</c:v>
                </c:pt>
                <c:pt idx="72">
                  <c:v>-0.63771230225896891</c:v>
                </c:pt>
                <c:pt idx="73">
                  <c:v>-0.58919234621054384</c:v>
                </c:pt>
                <c:pt idx="74">
                  <c:v>-0.61606476178181901</c:v>
                </c:pt>
                <c:pt idx="75">
                  <c:v>-0.54275939104805326</c:v>
                </c:pt>
                <c:pt idx="76">
                  <c:v>-0.58584477409336244</c:v>
                </c:pt>
                <c:pt idx="77">
                  <c:v>-0.53748931227950614</c:v>
                </c:pt>
                <c:pt idx="78">
                  <c:v>-0.5374893122875638</c:v>
                </c:pt>
                <c:pt idx="79">
                  <c:v>-0.49167736467611739</c:v>
                </c:pt>
                <c:pt idx="80">
                  <c:v>-0.52329076307571043</c:v>
                </c:pt>
                <c:pt idx="81">
                  <c:v>-0.44844960801658218</c:v>
                </c:pt>
                <c:pt idx="82">
                  <c:v>-0.47679260887747288</c:v>
                </c:pt>
                <c:pt idx="83">
                  <c:v>-0.43315626540104268</c:v>
                </c:pt>
                <c:pt idx="84">
                  <c:v>-0.43315626539754909</c:v>
                </c:pt>
                <c:pt idx="85">
                  <c:v>-0.3923631700790069</c:v>
                </c:pt>
                <c:pt idx="86">
                  <c:v>-0.41242416538574211</c:v>
                </c:pt>
                <c:pt idx="87">
                  <c:v>-0.37792916916308683</c:v>
                </c:pt>
                <c:pt idx="88">
                  <c:v>-0.37214390489965227</c:v>
                </c:pt>
                <c:pt idx="89">
                  <c:v>-0.38238590806715833</c:v>
                </c:pt>
                <c:pt idx="90">
                  <c:v>-0.33482047762435824</c:v>
                </c:pt>
                <c:pt idx="91">
                  <c:v>-0.34864127766830993</c:v>
                </c:pt>
                <c:pt idx="92">
                  <c:v>-0.30036357498998817</c:v>
                </c:pt>
                <c:pt idx="93">
                  <c:v>-0.31249711856662526</c:v>
                </c:pt>
                <c:pt idx="94">
                  <c:v>-0.28054687357498281</c:v>
                </c:pt>
                <c:pt idx="95">
                  <c:v>-0.27928871967022922</c:v>
                </c:pt>
                <c:pt idx="96">
                  <c:v>-0.28855676064276436</c:v>
                </c:pt>
                <c:pt idx="97">
                  <c:v>-0.2499100611878155</c:v>
                </c:pt>
                <c:pt idx="98">
                  <c:v>-0.25694984032961482</c:v>
                </c:pt>
                <c:pt idx="99">
                  <c:v>-0.2281452680453338</c:v>
                </c:pt>
                <c:pt idx="100">
                  <c:v>-0.22814526804538726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BB-40E4-B0D4-BDE28EF32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402623"/>
        <c:axId val="630408863"/>
      </c:lineChart>
      <c:catAx>
        <c:axId val="630402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408863"/>
        <c:crosses val="autoZero"/>
        <c:auto val="1"/>
        <c:lblAlgn val="ctr"/>
        <c:lblOffset val="100"/>
        <c:noMultiLvlLbl val="0"/>
      </c:catAx>
      <c:valAx>
        <c:axId val="630408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402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12</xdr:row>
          <xdr:rowOff>85725</xdr:rowOff>
        </xdr:from>
        <xdr:to>
          <xdr:col>11</xdr:col>
          <xdr:colOff>180975</xdr:colOff>
          <xdr:row>15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ptos Narrow"/>
                </a:rPr>
                <a:t>🐍 LANCER LE PRICING  Python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2</xdr:row>
          <xdr:rowOff>133350</xdr:rowOff>
        </xdr:from>
        <xdr:to>
          <xdr:col>11</xdr:col>
          <xdr:colOff>142875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ptos Narrow"/>
                </a:rPr>
                <a:t>📈 LANCER LE PRICING VBA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476250</xdr:colOff>
          <xdr:row>10</xdr:row>
          <xdr:rowOff>9525</xdr:rowOff>
        </xdr:from>
        <xdr:to>
          <xdr:col>11</xdr:col>
          <xdr:colOff>200025</xdr:colOff>
          <xdr:row>11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ptos Narrow"/>
                </a:rPr>
                <a:t>📈 PLOT L'ARBRE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476250</xdr:colOff>
          <xdr:row>17</xdr:row>
          <xdr:rowOff>104775</xdr:rowOff>
        </xdr:from>
        <xdr:to>
          <xdr:col>11</xdr:col>
          <xdr:colOff>285750</xdr:colOff>
          <xdr:row>23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ptos Narrow"/>
                </a:rPr>
                <a:t>🐍 LANCER  Performance Analysis Python Attention lent car calcul de tous les graphs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5</xdr:row>
          <xdr:rowOff>152400</xdr:rowOff>
        </xdr:from>
        <xdr:to>
          <xdr:col>10</xdr:col>
          <xdr:colOff>2085975</xdr:colOff>
          <xdr:row>9</xdr:row>
          <xdr:rowOff>95250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📈</a:t>
              </a:r>
              <a:r>
                <a:rPr lang="fr-FR" sz="1100" b="1" i="0" u="none" strike="noStrike" baseline="0">
                  <a:solidFill>
                    <a:srgbClr val="000000"/>
                  </a:solidFill>
                  <a:latin typeface="Aptos Narrow"/>
                  <a:ea typeface="Calibri"/>
                  <a:cs typeface="Calibri"/>
                </a:rPr>
                <a:t>Performance Test VBA</a:t>
              </a:r>
              <a:endParaRPr lang="fr-FR" sz="1100" b="1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320447</xdr:colOff>
      <xdr:row>27</xdr:row>
      <xdr:rowOff>92359</xdr:rowOff>
    </xdr:from>
    <xdr:to>
      <xdr:col>15</xdr:col>
      <xdr:colOff>530679</xdr:colOff>
      <xdr:row>48</xdr:row>
      <xdr:rowOff>40822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97219BD-0710-729B-6485-9B19DBED3F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176894</xdr:colOff>
      <xdr:row>6</xdr:row>
      <xdr:rowOff>40821</xdr:rowOff>
    </xdr:from>
    <xdr:to>
      <xdr:col>13</xdr:col>
      <xdr:colOff>571501</xdr:colOff>
      <xdr:row>26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3B7DE36-C62A-6D93-2C6F-D32B5764C6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277669</xdr:colOff>
      <xdr:row>0</xdr:row>
      <xdr:rowOff>177062</xdr:rowOff>
    </xdr:from>
    <xdr:to>
      <xdr:col>27</xdr:col>
      <xdr:colOff>217714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FD1E0C-61B3-2017-0170-C0070CB2F2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26</xdr:row>
      <xdr:rowOff>183864</xdr:rowOff>
    </xdr:from>
    <xdr:to>
      <xdr:col>5</xdr:col>
      <xdr:colOff>544284</xdr:colOff>
      <xdr:row>47</xdr:row>
      <xdr:rowOff>122463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2CE1E1-1068-3C89-BC70-9208A2E145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237910</xdr:colOff>
      <xdr:row>1</xdr:row>
      <xdr:rowOff>11692</xdr:rowOff>
    </xdr:from>
    <xdr:to>
      <xdr:col>16</xdr:col>
      <xdr:colOff>81914</xdr:colOff>
      <xdr:row>23</xdr:row>
      <xdr:rowOff>20998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99E111B-241F-1909-1A42-DE0420B53F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6645</xdr:colOff>
      <xdr:row>0</xdr:row>
      <xdr:rowOff>167906</xdr:rowOff>
    </xdr:from>
    <xdr:to>
      <xdr:col>25</xdr:col>
      <xdr:colOff>420873</xdr:colOff>
      <xdr:row>19</xdr:row>
      <xdr:rowOff>166135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896BDBE-0B1E-9392-E598-584ABAE0B5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199361</xdr:colOff>
      <xdr:row>23</xdr:row>
      <xdr:rowOff>121833</xdr:rowOff>
    </xdr:from>
    <xdr:to>
      <xdr:col>26</xdr:col>
      <xdr:colOff>476251</xdr:colOff>
      <xdr:row>49</xdr:row>
      <xdr:rowOff>22152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630DA83F-8B28-30A5-EE51-132861A523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256011</xdr:colOff>
      <xdr:row>2</xdr:row>
      <xdr:rowOff>179203</xdr:rowOff>
    </xdr:from>
    <xdr:to>
      <xdr:col>16</xdr:col>
      <xdr:colOff>465174</xdr:colOff>
      <xdr:row>20</xdr:row>
      <xdr:rowOff>132907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1B058B-E38B-583A-9E03-047F6CEB53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375793</xdr:colOff>
      <xdr:row>4</xdr:row>
      <xdr:rowOff>19383</xdr:rowOff>
    </xdr:from>
    <xdr:to>
      <xdr:col>31</xdr:col>
      <xdr:colOff>177209</xdr:colOff>
      <xdr:row>31</xdr:row>
      <xdr:rowOff>22152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ED3B607-DB9D-4DAF-81AA-C9A00F3F25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432501</xdr:colOff>
      <xdr:row>25</xdr:row>
      <xdr:rowOff>53828</xdr:rowOff>
    </xdr:from>
    <xdr:to>
      <xdr:col>15</xdr:col>
      <xdr:colOff>470601</xdr:colOff>
      <xdr:row>40</xdr:row>
      <xdr:rowOff>82403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A714B3A-E57B-4CB6-8758-11D26FBB1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527198</xdr:colOff>
      <xdr:row>33</xdr:row>
      <xdr:rowOff>90377</xdr:rowOff>
    </xdr:from>
    <xdr:to>
      <xdr:col>25</xdr:col>
      <xdr:colOff>314547</xdr:colOff>
      <xdr:row>48</xdr:row>
      <xdr:rowOff>9304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06FBDE9-DCD2-79F6-31B7-3AB0239A6C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206005</xdr:colOff>
      <xdr:row>50</xdr:row>
      <xdr:rowOff>79301</xdr:rowOff>
    </xdr:from>
    <xdr:to>
      <xdr:col>24</xdr:col>
      <xdr:colOff>591436</xdr:colOff>
      <xdr:row>64</xdr:row>
      <xdr:rowOff>186512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97F5858E-39B7-CAA8-9755-433A41C315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34C49-430E-42E0-91F4-338192E7256A}">
  <sheetPr codeName="Sheet1"/>
  <dimension ref="B1:S22"/>
  <sheetViews>
    <sheetView showGridLines="0" tabSelected="1" topLeftCell="D1" zoomScale="81" zoomScaleNormal="79" zoomScalePageLayoutView="57" workbookViewId="0">
      <selection activeCell="I35" sqref="I35"/>
    </sheetView>
  </sheetViews>
  <sheetFormatPr baseColWidth="10" defaultColWidth="9.140625" defaultRowHeight="15" x14ac:dyDescent="0.25"/>
  <cols>
    <col min="1" max="1" width="9.140625" style="5"/>
    <col min="2" max="2" width="5.28515625" style="5" customWidth="1"/>
    <col min="3" max="4" width="9.140625" style="5"/>
    <col min="5" max="5" width="6.42578125" style="5" customWidth="1"/>
    <col min="6" max="6" width="7" style="5" customWidth="1"/>
    <col min="7" max="7" width="11.28515625" style="5" customWidth="1"/>
    <col min="8" max="8" width="10.85546875" style="5" customWidth="1"/>
    <col min="9" max="9" width="11.42578125" style="5" bestFit="1" customWidth="1"/>
    <col min="10" max="10" width="13" style="5" customWidth="1"/>
    <col min="11" max="11" width="31.5703125" style="5" customWidth="1"/>
    <col min="12" max="12" width="11.7109375" style="5" customWidth="1"/>
    <col min="13" max="13" width="10.140625" style="5" customWidth="1"/>
    <col min="14" max="14" width="9.140625" style="5"/>
    <col min="15" max="15" width="19" style="5" bestFit="1" customWidth="1"/>
    <col min="16" max="16" width="13.5703125" style="5" bestFit="1" customWidth="1"/>
    <col min="17" max="17" width="9.28515625" style="5" customWidth="1"/>
    <col min="18" max="18" width="11.85546875" style="5" customWidth="1"/>
    <col min="19" max="22" width="9.140625" style="5"/>
    <col min="23" max="23" width="7.7109375" style="5" customWidth="1"/>
    <col min="24" max="24" width="11.85546875" style="5" customWidth="1"/>
    <col min="25" max="16384" width="9.140625" style="5"/>
  </cols>
  <sheetData>
    <row r="1" spans="2:19" ht="19.5" x14ac:dyDescent="0.3">
      <c r="L1" s="6"/>
    </row>
    <row r="2" spans="2:19" ht="19.5" x14ac:dyDescent="0.3">
      <c r="B2" s="18"/>
      <c r="K2" s="19" t="s">
        <v>18</v>
      </c>
    </row>
    <row r="3" spans="2:19" x14ac:dyDescent="0.25">
      <c r="B3" s="18" t="s">
        <v>48</v>
      </c>
    </row>
    <row r="4" spans="2:19" x14ac:dyDescent="0.25">
      <c r="B4" s="18" t="s">
        <v>10</v>
      </c>
    </row>
    <row r="5" spans="2:19" ht="17.25" customHeight="1" x14ac:dyDescent="0.25">
      <c r="B5" s="18"/>
      <c r="H5" s="37" t="s">
        <v>17</v>
      </c>
      <c r="I5" s="37"/>
      <c r="O5" s="37" t="s">
        <v>28</v>
      </c>
      <c r="P5" s="37"/>
    </row>
    <row r="6" spans="2:19" x14ac:dyDescent="0.25">
      <c r="B6" s="18"/>
      <c r="H6" s="37"/>
      <c r="I6" s="37"/>
      <c r="O6" s="37"/>
      <c r="P6" s="37"/>
    </row>
    <row r="7" spans="2:19" x14ac:dyDescent="0.25">
      <c r="B7" s="18" t="s">
        <v>8</v>
      </c>
      <c r="G7" s="37" t="s">
        <v>2</v>
      </c>
      <c r="H7" s="7" t="s">
        <v>0</v>
      </c>
      <c r="I7" s="8">
        <f ca="1">TODAY()</f>
        <v>45963</v>
      </c>
      <c r="N7" s="20"/>
      <c r="O7" s="23" t="s">
        <v>21</v>
      </c>
      <c r="P7" s="13">
        <v>4.0525691216131641</v>
      </c>
      <c r="R7" s="31" t="s">
        <v>96</v>
      </c>
    </row>
    <row r="8" spans="2:19" x14ac:dyDescent="0.25">
      <c r="B8" s="18" t="s">
        <v>14</v>
      </c>
      <c r="G8" s="37"/>
      <c r="H8" s="7" t="s">
        <v>1</v>
      </c>
      <c r="I8" s="10">
        <v>102.45</v>
      </c>
      <c r="N8" s="21"/>
      <c r="O8" s="23" t="s">
        <v>161</v>
      </c>
      <c r="P8" s="13">
        <v>4.0515737114525674</v>
      </c>
      <c r="R8" s="31" t="s">
        <v>97</v>
      </c>
      <c r="S8" s="5">
        <f>P8/Steps</f>
        <v>4.0515737114525672E-3</v>
      </c>
    </row>
    <row r="9" spans="2:19" ht="15.75" x14ac:dyDescent="0.25">
      <c r="B9" s="18"/>
      <c r="G9" s="37"/>
      <c r="H9" s="7" t="s">
        <v>3</v>
      </c>
      <c r="I9" s="11">
        <v>0.04</v>
      </c>
      <c r="N9" s="24" t="s">
        <v>22</v>
      </c>
      <c r="O9" s="23" t="s">
        <v>23</v>
      </c>
      <c r="P9" s="13">
        <f>ABS(P7-P8)</f>
        <v>9.9541016059667697E-4</v>
      </c>
    </row>
    <row r="10" spans="2:19" x14ac:dyDescent="0.25">
      <c r="B10" s="18" t="s">
        <v>13</v>
      </c>
      <c r="G10" s="37"/>
      <c r="H10" s="7" t="s">
        <v>4</v>
      </c>
      <c r="I10" s="12">
        <v>0.28000000000000003</v>
      </c>
      <c r="N10" s="21"/>
      <c r="O10" s="23" t="s">
        <v>24</v>
      </c>
      <c r="P10" s="14">
        <v>1.0413595999998506</v>
      </c>
    </row>
    <row r="11" spans="2:19" ht="24.75" customHeight="1" x14ac:dyDescent="0.25">
      <c r="B11" s="18" t="s">
        <v>15</v>
      </c>
      <c r="G11" s="37"/>
      <c r="H11" s="7" t="s">
        <v>5</v>
      </c>
      <c r="I11" s="10">
        <v>0</v>
      </c>
      <c r="N11" s="21"/>
      <c r="O11" s="23" t="s">
        <v>25</v>
      </c>
      <c r="P11" s="14">
        <v>7.2050099999614758E-2</v>
      </c>
    </row>
    <row r="12" spans="2:19" x14ac:dyDescent="0.25">
      <c r="B12" s="18" t="s">
        <v>59</v>
      </c>
      <c r="G12" s="37"/>
      <c r="H12" s="7" t="s">
        <v>29</v>
      </c>
      <c r="I12" s="8">
        <v>46182</v>
      </c>
      <c r="N12" s="21"/>
      <c r="O12" s="23" t="s">
        <v>26</v>
      </c>
      <c r="P12" s="15">
        <f>P11+P10</f>
        <v>1.1134096999994654</v>
      </c>
    </row>
    <row r="13" spans="2:19" x14ac:dyDescent="0.25">
      <c r="B13" s="18" t="s">
        <v>60</v>
      </c>
      <c r="G13" s="37" t="s">
        <v>20</v>
      </c>
      <c r="H13" s="7" t="s">
        <v>6</v>
      </c>
      <c r="I13" s="8">
        <v>46261</v>
      </c>
      <c r="N13" s="21"/>
      <c r="O13" s="23" t="s">
        <v>162</v>
      </c>
      <c r="P13" s="10">
        <v>4.0515737114525674</v>
      </c>
    </row>
    <row r="14" spans="2:19" ht="15.75" x14ac:dyDescent="0.25">
      <c r="B14" s="18" t="s">
        <v>61</v>
      </c>
      <c r="G14" s="37"/>
      <c r="H14" s="7" t="s">
        <v>7</v>
      </c>
      <c r="I14" s="10" t="s">
        <v>14</v>
      </c>
      <c r="N14" s="21"/>
      <c r="O14" s="23" t="s">
        <v>163</v>
      </c>
      <c r="P14" s="16">
        <v>10.685987741659035</v>
      </c>
    </row>
    <row r="15" spans="2:19" ht="14.25" customHeight="1" x14ac:dyDescent="0.25">
      <c r="G15" s="37"/>
      <c r="H15" s="7" t="s">
        <v>9</v>
      </c>
      <c r="I15" s="10" t="s">
        <v>10</v>
      </c>
      <c r="N15" s="22"/>
      <c r="O15" s="23" t="s">
        <v>27</v>
      </c>
      <c r="P15" s="17">
        <v>0.21875</v>
      </c>
    </row>
    <row r="16" spans="2:19" x14ac:dyDescent="0.25">
      <c r="B16" s="18"/>
      <c r="G16" s="37"/>
      <c r="H16" s="7" t="s">
        <v>11</v>
      </c>
      <c r="I16" s="10">
        <v>91</v>
      </c>
    </row>
    <row r="17" spans="2:17" x14ac:dyDescent="0.25">
      <c r="B17" s="18"/>
      <c r="G17" s="38" t="s">
        <v>19</v>
      </c>
      <c r="H17" s="7" t="s">
        <v>12</v>
      </c>
      <c r="I17" s="9">
        <v>1000</v>
      </c>
      <c r="P17" s="27" t="s">
        <v>34</v>
      </c>
      <c r="Q17" s="27" t="s">
        <v>158</v>
      </c>
    </row>
    <row r="18" spans="2:17" x14ac:dyDescent="0.25">
      <c r="B18" s="18"/>
      <c r="G18" s="38"/>
      <c r="H18" s="7" t="s">
        <v>16</v>
      </c>
      <c r="I18" s="10" t="s">
        <v>13</v>
      </c>
      <c r="N18" s="20"/>
      <c r="O18" s="26" t="s">
        <v>31</v>
      </c>
      <c r="P18" s="10">
        <v>-0.24143431127732132</v>
      </c>
      <c r="Q18" s="10">
        <v>0.58448088104144824</v>
      </c>
    </row>
    <row r="19" spans="2:17" ht="14.25" customHeight="1" x14ac:dyDescent="0.25">
      <c r="N19" s="25" t="s">
        <v>30</v>
      </c>
      <c r="O19" s="26" t="s">
        <v>32</v>
      </c>
      <c r="P19" s="10">
        <v>1.1956435184100538E-2</v>
      </c>
      <c r="Q19" s="10">
        <v>1.4739416955875778E-2</v>
      </c>
    </row>
    <row r="20" spans="2:17" x14ac:dyDescent="0.25">
      <c r="N20" s="21"/>
      <c r="O20" s="26" t="s">
        <v>33</v>
      </c>
      <c r="P20" s="10">
        <v>0.28542222909952963</v>
      </c>
      <c r="Q20" s="10">
        <v>0.36397176255264263</v>
      </c>
    </row>
    <row r="21" spans="2:17" x14ac:dyDescent="0.25">
      <c r="N21" s="21"/>
      <c r="O21" s="26" t="s">
        <v>62</v>
      </c>
      <c r="P21" s="10">
        <v>1.9699764632317152E-2</v>
      </c>
      <c r="Q21" s="36"/>
    </row>
    <row r="22" spans="2:17" x14ac:dyDescent="0.25">
      <c r="N22" s="22"/>
      <c r="O22" s="26" t="s">
        <v>63</v>
      </c>
      <c r="P22" s="10">
        <v>-0.52094568173133837</v>
      </c>
      <c r="Q22" s="36"/>
    </row>
  </sheetData>
  <mergeCells count="5">
    <mergeCell ref="H5:I6"/>
    <mergeCell ref="G7:G12"/>
    <mergeCell ref="G13:G16"/>
    <mergeCell ref="G17:G18"/>
    <mergeCell ref="O5:P6"/>
  </mergeCells>
  <dataValidations count="3">
    <dataValidation type="list" allowBlank="1" showInputMessage="1" showErrorMessage="1" sqref="I14" xr:uid="{FFFE4CEC-4679-4FE8-AFE0-DEDA594D9867}">
      <formula1>$B$7:$B$8</formula1>
    </dataValidation>
    <dataValidation type="list" allowBlank="1" showInputMessage="1" showErrorMessage="1" sqref="I15" xr:uid="{FD662A35-E4D1-40C9-AC78-149A06BB1BD7}">
      <formula1>$B$3:$B$4</formula1>
    </dataValidation>
    <dataValidation type="list" allowBlank="1" showInputMessage="1" showErrorMessage="1" sqref="I18" xr:uid="{B7164927-476B-4AEB-B032-9F752DA73CAE}">
      <formula1>$B$10:$B$14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_python.test_python">
                <anchor moveWithCells="1" sizeWithCells="1">
                  <from>
                    <xdr:col>10</xdr:col>
                    <xdr:colOff>485775</xdr:colOff>
                    <xdr:row>12</xdr:row>
                    <xdr:rowOff>85725</xdr:rowOff>
                  </from>
                  <to>
                    <xdr:col>11</xdr:col>
                    <xdr:colOff>180975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locked="0" defaultSize="0" print="0" autoFill="0" autoPict="0" macro="[0]!RunPricing">
                <anchor moveWithCells="1" sizeWithCells="1">
                  <from>
                    <xdr:col>10</xdr:col>
                    <xdr:colOff>485775</xdr:colOff>
                    <xdr:row>2</xdr:row>
                    <xdr:rowOff>133350</xdr:rowOff>
                  </from>
                  <to>
                    <xdr:col>11</xdr:col>
                    <xdr:colOff>142875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RunPlotting">
                <anchor moveWithCells="1" sizeWithCells="1">
                  <from>
                    <xdr:col>10</xdr:col>
                    <xdr:colOff>476250</xdr:colOff>
                    <xdr:row>10</xdr:row>
                    <xdr:rowOff>9525</xdr:rowOff>
                  </from>
                  <to>
                    <xdr:col>11</xdr:col>
                    <xdr:colOff>200025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test_python_analysis">
                <anchor moveWithCells="1" sizeWithCells="1">
                  <from>
                    <xdr:col>10</xdr:col>
                    <xdr:colOff>476250</xdr:colOff>
                    <xdr:row>17</xdr:row>
                    <xdr:rowOff>104775</xdr:rowOff>
                  </from>
                  <to>
                    <xdr:col>11</xdr:col>
                    <xdr:colOff>285750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PerformanceTest">
                <anchor moveWithCells="1">
                  <from>
                    <xdr:col>10</xdr:col>
                    <xdr:colOff>647700</xdr:colOff>
                    <xdr:row>5</xdr:row>
                    <xdr:rowOff>152400</xdr:rowOff>
                  </from>
                  <to>
                    <xdr:col>10</xdr:col>
                    <xdr:colOff>2085975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ED13B-B62F-4DBA-BEA5-7F83AFE62D94}">
  <sheetPr codeName="Sheet5"/>
  <dimension ref="A1:R21"/>
  <sheetViews>
    <sheetView zoomScale="55" zoomScaleNormal="55" workbookViewId="0">
      <selection activeCell="Y32" sqref="Y32"/>
    </sheetView>
  </sheetViews>
  <sheetFormatPr baseColWidth="10" defaultColWidth="9.140625" defaultRowHeight="15" x14ac:dyDescent="0.25"/>
  <cols>
    <col min="1" max="1" width="8.140625" customWidth="1"/>
    <col min="2" max="2" width="22.5703125" bestFit="1" customWidth="1"/>
    <col min="3" max="3" width="16.42578125" bestFit="1" customWidth="1"/>
    <col min="4" max="4" width="15.85546875" bestFit="1" customWidth="1"/>
    <col min="5" max="5" width="14.85546875" bestFit="1" customWidth="1"/>
    <col min="15" max="15" width="6.85546875" bestFit="1" customWidth="1"/>
    <col min="16" max="16" width="23.140625" bestFit="1" customWidth="1"/>
    <col min="17" max="17" width="14.85546875" bestFit="1" customWidth="1"/>
    <col min="18" max="18" width="15.85546875" bestFit="1" customWidth="1"/>
  </cols>
  <sheetData>
    <row r="1" spans="1:18" ht="15.75" x14ac:dyDescent="0.25">
      <c r="A1" s="1" t="s">
        <v>64</v>
      </c>
      <c r="B1" s="1" t="s">
        <v>47</v>
      </c>
      <c r="C1" s="2" t="s">
        <v>46</v>
      </c>
      <c r="D1" s="2" t="s">
        <v>65</v>
      </c>
      <c r="E1" s="2" t="s">
        <v>150</v>
      </c>
      <c r="O1" s="2" t="s">
        <v>11</v>
      </c>
      <c r="P1" s="2" t="s">
        <v>148</v>
      </c>
      <c r="Q1" s="2" t="s">
        <v>65</v>
      </c>
      <c r="R1" s="2" t="s">
        <v>149</v>
      </c>
    </row>
    <row r="2" spans="1:18" x14ac:dyDescent="0.25">
      <c r="A2" s="3">
        <v>10</v>
      </c>
      <c r="B2">
        <v>3.9409892527772676</v>
      </c>
      <c r="C2">
        <v>4.0525691216131641</v>
      </c>
      <c r="D2">
        <v>-1.1157986883589643</v>
      </c>
      <c r="E2">
        <f>ABS(B2-C2)</f>
        <v>0.11157986883589643</v>
      </c>
      <c r="O2">
        <v>90</v>
      </c>
      <c r="P2">
        <v>3.7891939781206463</v>
      </c>
      <c r="Q2">
        <v>3.7514805639144377</v>
      </c>
      <c r="R2">
        <v>3.7713414206208551E-2</v>
      </c>
    </row>
    <row r="3" spans="1:18" x14ac:dyDescent="0.25">
      <c r="A3" s="3">
        <v>50</v>
      </c>
      <c r="B3">
        <v>4.0712688882336447</v>
      </c>
      <c r="C3">
        <v>4.0525691216131641</v>
      </c>
      <c r="D3">
        <v>0.93498833102403367</v>
      </c>
      <c r="E3">
        <f t="shared" ref="E3:E14" si="0">ABS(B3-C3)</f>
        <v>1.8699766620480673E-2</v>
      </c>
      <c r="O3">
        <f t="shared" ref="O3:O21" si="1">O2+1</f>
        <v>91</v>
      </c>
      <c r="P3">
        <v>4.1024545574468307</v>
      </c>
      <c r="Q3">
        <v>4.0525691216131641</v>
      </c>
      <c r="R3">
        <v>4.9885435833666669E-2</v>
      </c>
    </row>
    <row r="4" spans="1:18" x14ac:dyDescent="0.25">
      <c r="A4" s="3">
        <v>100</v>
      </c>
      <c r="B4">
        <v>4.0621205816566173</v>
      </c>
      <c r="C4">
        <v>4.0525691216131641</v>
      </c>
      <c r="D4">
        <v>0.95514600434531971</v>
      </c>
      <c r="E4">
        <f t="shared" si="0"/>
        <v>9.5514600434531971E-3</v>
      </c>
      <c r="O4">
        <f t="shared" si="1"/>
        <v>92</v>
      </c>
      <c r="P4">
        <v>4.4157151367730139</v>
      </c>
      <c r="Q4">
        <v>4.3686655944627937</v>
      </c>
      <c r="R4">
        <v>4.7049542310220183E-2</v>
      </c>
    </row>
    <row r="5" spans="1:18" x14ac:dyDescent="0.25">
      <c r="A5" s="3">
        <v>150</v>
      </c>
      <c r="B5">
        <v>4.0529686943265579</v>
      </c>
      <c r="C5">
        <v>4.0525691216131641</v>
      </c>
      <c r="D5">
        <v>5.9935907009078804E-2</v>
      </c>
      <c r="E5">
        <f t="shared" si="0"/>
        <v>3.9957271339385869E-4</v>
      </c>
      <c r="O5">
        <f t="shared" si="1"/>
        <v>93</v>
      </c>
      <c r="P5">
        <v>4.7289757160991988</v>
      </c>
      <c r="Q5">
        <v>4.6998979060774531</v>
      </c>
      <c r="R5">
        <v>2.9077810021745698E-2</v>
      </c>
    </row>
    <row r="6" spans="1:18" x14ac:dyDescent="0.25">
      <c r="A6" s="3">
        <v>200</v>
      </c>
      <c r="B6">
        <v>4.0490946864003838</v>
      </c>
      <c r="C6">
        <v>4.0525691216131641</v>
      </c>
      <c r="D6">
        <v>-0.69488704255604716</v>
      </c>
      <c r="E6">
        <f t="shared" si="0"/>
        <v>3.4744352127802358E-3</v>
      </c>
      <c r="O6">
        <f t="shared" si="1"/>
        <v>94</v>
      </c>
      <c r="P6">
        <v>5.0422362954253819</v>
      </c>
      <c r="Q6">
        <v>5.0463656810593953</v>
      </c>
      <c r="R6">
        <v>-4.1293856340134383E-3</v>
      </c>
    </row>
    <row r="7" spans="1:18" x14ac:dyDescent="0.25">
      <c r="A7" s="3">
        <v>300</v>
      </c>
      <c r="B7">
        <v>4.0469154915121042</v>
      </c>
      <c r="C7">
        <v>4.0525691216131641</v>
      </c>
      <c r="D7">
        <v>-1.696089030317971</v>
      </c>
      <c r="E7">
        <f t="shared" si="0"/>
        <v>5.6536301010599033E-3</v>
      </c>
      <c r="O7">
        <f t="shared" si="1"/>
        <v>95</v>
      </c>
      <c r="P7">
        <v>5.3554968747515659</v>
      </c>
      <c r="Q7">
        <v>5.4081406031995591</v>
      </c>
      <c r="R7">
        <v>-5.2643728447993254E-2</v>
      </c>
    </row>
    <row r="8" spans="1:18" x14ac:dyDescent="0.25">
      <c r="A8" s="3">
        <v>400</v>
      </c>
      <c r="B8">
        <v>4.0503272368569796</v>
      </c>
      <c r="C8">
        <v>4.0525691216131641</v>
      </c>
      <c r="D8">
        <v>-0.89675390247379028</v>
      </c>
      <c r="E8">
        <f t="shared" si="0"/>
        <v>2.2418847561844757E-3</v>
      </c>
      <c r="O8">
        <f t="shared" si="1"/>
        <v>96</v>
      </c>
      <c r="P8">
        <v>5.6729494292279545</v>
      </c>
      <c r="Q8">
        <v>5.7852669122160343</v>
      </c>
      <c r="R8">
        <v>-0.11231748298807975</v>
      </c>
    </row>
    <row r="9" spans="1:18" x14ac:dyDescent="0.25">
      <c r="A9" s="3">
        <v>500</v>
      </c>
      <c r="B9">
        <v>4.0534974334363731</v>
      </c>
      <c r="C9">
        <v>4.0525691216131641</v>
      </c>
      <c r="D9">
        <v>0.46415591160453573</v>
      </c>
      <c r="E9">
        <f t="shared" si="0"/>
        <v>9.2831182320907146E-4</v>
      </c>
      <c r="O9">
        <f t="shared" si="1"/>
        <v>97</v>
      </c>
      <c r="P9">
        <v>6.130782894171781</v>
      </c>
      <c r="Q9">
        <v>6.1777620273572964</v>
      </c>
      <c r="R9">
        <v>-4.6979133185515387E-2</v>
      </c>
    </row>
    <row r="10" spans="1:18" x14ac:dyDescent="0.25">
      <c r="A10" s="3">
        <v>600</v>
      </c>
      <c r="B10">
        <v>4.0541708016994464</v>
      </c>
      <c r="C10">
        <v>4.0525691216131641</v>
      </c>
      <c r="D10">
        <v>0.96100805176941861</v>
      </c>
      <c r="E10">
        <f t="shared" si="0"/>
        <v>1.6016800862823644E-3</v>
      </c>
      <c r="O10">
        <f t="shared" si="1"/>
        <v>98</v>
      </c>
      <c r="P10">
        <v>6.5886163591156057</v>
      </c>
      <c r="Q10">
        <v>6.5856172858687643</v>
      </c>
      <c r="R10">
        <v>2.9990732468414549E-3</v>
      </c>
    </row>
    <row r="11" spans="1:18" x14ac:dyDescent="0.25">
      <c r="A11" s="3">
        <v>700</v>
      </c>
      <c r="B11">
        <v>4.0516029458193845</v>
      </c>
      <c r="C11">
        <v>4.0525691216131641</v>
      </c>
      <c r="D11">
        <v>-0.67632305564568895</v>
      </c>
      <c r="E11">
        <f t="shared" si="0"/>
        <v>9.6617579377955565E-4</v>
      </c>
      <c r="O11">
        <f t="shared" si="1"/>
        <v>99</v>
      </c>
      <c r="P11">
        <v>7.0464498240594287</v>
      </c>
      <c r="Q11">
        <v>7.0087987841595591</v>
      </c>
      <c r="R11">
        <v>3.7651039899869509E-2</v>
      </c>
    </row>
    <row r="12" spans="1:18" x14ac:dyDescent="0.25">
      <c r="A12" s="3">
        <v>800</v>
      </c>
      <c r="B12">
        <v>4.0528402536084087</v>
      </c>
      <c r="C12">
        <v>4.0525691216131641</v>
      </c>
      <c r="D12">
        <v>0.21690559619571559</v>
      </c>
      <c r="E12">
        <f t="shared" si="0"/>
        <v>2.7113199524464449E-4</v>
      </c>
      <c r="O12">
        <f t="shared" si="1"/>
        <v>100</v>
      </c>
      <c r="P12">
        <v>7.5042832890032534</v>
      </c>
      <c r="Q12">
        <v>7.4472483094929629</v>
      </c>
      <c r="R12">
        <v>5.7034979510290462E-2</v>
      </c>
    </row>
    <row r="13" spans="1:18" x14ac:dyDescent="0.25">
      <c r="A13" s="3">
        <v>900</v>
      </c>
      <c r="B13">
        <v>4.0533629831583733</v>
      </c>
      <c r="C13">
        <v>4.0525691216131641</v>
      </c>
      <c r="D13">
        <v>0.71447539068829613</v>
      </c>
      <c r="E13">
        <f t="shared" si="0"/>
        <v>7.9386154520921792E-4</v>
      </c>
      <c r="O13">
        <f t="shared" si="1"/>
        <v>101</v>
      </c>
      <c r="P13">
        <v>7.962116753947079</v>
      </c>
      <c r="Q13">
        <v>7.9008843501454251</v>
      </c>
      <c r="R13">
        <v>6.1232403801653845E-2</v>
      </c>
    </row>
    <row r="14" spans="1:18" x14ac:dyDescent="0.25">
      <c r="A14" s="4">
        <v>1000</v>
      </c>
      <c r="B14">
        <v>4.0515737114525674</v>
      </c>
      <c r="C14">
        <v>4.0525691216131641</v>
      </c>
      <c r="D14">
        <v>-0.99541016059667697</v>
      </c>
      <c r="E14">
        <f t="shared" si="0"/>
        <v>9.9541016059667697E-4</v>
      </c>
      <c r="O14">
        <f t="shared" si="1"/>
        <v>102</v>
      </c>
      <c r="P14">
        <v>8.4199502188909019</v>
      </c>
      <c r="Q14">
        <v>8.3696031722188664</v>
      </c>
      <c r="R14">
        <v>5.0347046672035489E-2</v>
      </c>
    </row>
    <row r="15" spans="1:18" x14ac:dyDescent="0.25">
      <c r="O15">
        <f t="shared" si="1"/>
        <v>103</v>
      </c>
      <c r="P15">
        <v>8.8777836838347248</v>
      </c>
      <c r="Q15">
        <v>8.853279951633894</v>
      </c>
      <c r="R15">
        <v>2.4503732200830797E-2</v>
      </c>
    </row>
    <row r="16" spans="1:18" x14ac:dyDescent="0.25">
      <c r="O16">
        <f t="shared" si="1"/>
        <v>104</v>
      </c>
      <c r="P16">
        <v>9.3356171487785513</v>
      </c>
      <c r="Q16">
        <v>9.351769950263062</v>
      </c>
      <c r="R16">
        <v>-1.6152801484510704E-2</v>
      </c>
    </row>
    <row r="17" spans="15:18" x14ac:dyDescent="0.25">
      <c r="O17">
        <f t="shared" si="1"/>
        <v>105</v>
      </c>
      <c r="P17">
        <v>9.7934506137223778</v>
      </c>
      <c r="Q17">
        <v>9.8649097256670686</v>
      </c>
      <c r="R17">
        <v>-7.145911194469079E-2</v>
      </c>
    </row>
    <row r="18" spans="15:18" x14ac:dyDescent="0.25">
      <c r="O18">
        <f t="shared" si="1"/>
        <v>106</v>
      </c>
      <c r="P18">
        <v>10.27339697599724</v>
      </c>
      <c r="Q18">
        <v>10.392518364461139</v>
      </c>
      <c r="R18">
        <v>-0.11912138846389908</v>
      </c>
    </row>
    <row r="19" spans="15:18" x14ac:dyDescent="0.25">
      <c r="O19">
        <f t="shared" si="1"/>
        <v>107</v>
      </c>
      <c r="P19">
        <v>10.879635359202513</v>
      </c>
      <c r="Q19">
        <v>10.934398729949017</v>
      </c>
      <c r="R19">
        <v>-5.476337074650317E-2</v>
      </c>
    </row>
    <row r="20" spans="15:18" x14ac:dyDescent="0.25">
      <c r="O20">
        <f t="shared" si="1"/>
        <v>108</v>
      </c>
      <c r="P20">
        <v>11.48587374240779</v>
      </c>
      <c r="Q20">
        <v>11.490338715306386</v>
      </c>
      <c r="R20">
        <v>-4.4649728985959314E-3</v>
      </c>
    </row>
    <row r="21" spans="15:18" x14ac:dyDescent="0.25">
      <c r="O21">
        <f t="shared" si="1"/>
        <v>109</v>
      </c>
      <c r="P21">
        <v>12.092112125613056</v>
      </c>
      <c r="Q21">
        <v>12.06011249426345</v>
      </c>
      <c r="R21">
        <v>3.1999631349606261E-2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453F-FA5E-48BD-A55A-72BB18ED55D9}">
  <sheetPr codeName="Sheet22"/>
  <dimension ref="A1:P27"/>
  <sheetViews>
    <sheetView zoomScale="85" zoomScaleNormal="85" workbookViewId="0">
      <selection activeCell="B39" sqref="B39"/>
    </sheetView>
  </sheetViews>
  <sheetFormatPr baseColWidth="10" defaultColWidth="9.140625" defaultRowHeight="15" x14ac:dyDescent="0.25"/>
  <cols>
    <col min="1" max="1" width="17.85546875" bestFit="1" customWidth="1"/>
    <col min="2" max="2" width="23.42578125" bestFit="1" customWidth="1"/>
    <col min="3" max="3" width="17.85546875" bestFit="1" customWidth="1"/>
    <col min="4" max="4" width="20.5703125" bestFit="1" customWidth="1"/>
  </cols>
  <sheetData>
    <row r="1" spans="1:16" x14ac:dyDescent="0.25">
      <c r="A1" s="32" t="s">
        <v>12</v>
      </c>
      <c r="B1" s="32" t="s">
        <v>159</v>
      </c>
      <c r="C1" s="32" t="s">
        <v>154</v>
      </c>
      <c r="D1" s="32" t="s">
        <v>160</v>
      </c>
    </row>
    <row r="2" spans="1:16" x14ac:dyDescent="0.25">
      <c r="A2" s="33">
        <v>10</v>
      </c>
      <c r="B2" s="34">
        <v>9.9921226501464844E-4</v>
      </c>
      <c r="C2" s="33">
        <v>-0.17858855981461552</v>
      </c>
      <c r="D2" s="33">
        <v>0</v>
      </c>
      <c r="O2">
        <v>9.9921226501464844E-4</v>
      </c>
      <c r="P2">
        <v>-0.11157986883589643</v>
      </c>
    </row>
    <row r="3" spans="1:16" x14ac:dyDescent="0.25">
      <c r="A3" s="33">
        <f>A2+10</f>
        <v>20</v>
      </c>
      <c r="B3" s="34">
        <v>2.9964447021484375E-3</v>
      </c>
      <c r="C3" s="33">
        <v>-7.1459111944816911E-2</v>
      </c>
      <c r="D3" s="33">
        <v>7.8125E-3</v>
      </c>
      <c r="O3">
        <v>2.9964447021484375E-3</v>
      </c>
      <c r="P3">
        <v>4.9885435833666669E-2</v>
      </c>
    </row>
    <row r="4" spans="1:16" x14ac:dyDescent="0.25">
      <c r="A4" s="33">
        <f t="shared" ref="A4:A10" si="0">A3+10</f>
        <v>30</v>
      </c>
      <c r="B4" s="34">
        <v>6.000518798828125E-3</v>
      </c>
      <c r="C4" s="33">
        <v>-3.9527197569384498E-2</v>
      </c>
      <c r="D4" s="33">
        <v>7.8125E-3</v>
      </c>
      <c r="O4">
        <v>6.000518798828125E-3</v>
      </c>
      <c r="P4">
        <v>-2.5491208869032889E-2</v>
      </c>
    </row>
    <row r="5" spans="1:16" x14ac:dyDescent="0.25">
      <c r="A5" s="33">
        <f t="shared" si="0"/>
        <v>40</v>
      </c>
      <c r="B5" s="33">
        <v>7.9987049102783203E-3</v>
      </c>
      <c r="C5" s="33">
        <v>-2.4824784060688998E-2</v>
      </c>
      <c r="D5" s="33">
        <v>1.171875E-2</v>
      </c>
      <c r="O5">
        <v>7.9987049102783203E-3</v>
      </c>
      <c r="P5">
        <v>-6.9736254941021869E-3</v>
      </c>
    </row>
    <row r="6" spans="1:16" x14ac:dyDescent="0.25">
      <c r="A6" s="33">
        <f t="shared" si="0"/>
        <v>50</v>
      </c>
      <c r="B6" s="34">
        <v>1.300358772277832E-2</v>
      </c>
      <c r="C6" s="33">
        <v>-1.6618637684759463E-2</v>
      </c>
      <c r="D6" s="33">
        <v>1.5625E-2</v>
      </c>
      <c r="O6">
        <v>1.300358772277832E-2</v>
      </c>
      <c r="P6">
        <v>1.8699766620480673E-2</v>
      </c>
    </row>
    <row r="7" spans="1:16" x14ac:dyDescent="0.25">
      <c r="A7" s="33">
        <f t="shared" si="0"/>
        <v>60</v>
      </c>
      <c r="B7" s="34">
        <v>1.3509035110473633E-2</v>
      </c>
      <c r="C7" s="33">
        <v>-1.1503607525590098E-2</v>
      </c>
      <c r="D7" s="33">
        <v>1.953125E-2</v>
      </c>
      <c r="O7">
        <v>1.3509035110473633E-2</v>
      </c>
      <c r="P7">
        <v>1.1361299993185803E-2</v>
      </c>
    </row>
    <row r="8" spans="1:16" x14ac:dyDescent="0.25">
      <c r="A8" s="33">
        <f t="shared" si="0"/>
        <v>70</v>
      </c>
      <c r="B8" s="34">
        <v>2.1018266677856445E-2</v>
      </c>
      <c r="C8" s="33">
        <v>-8.0779408133970776E-3</v>
      </c>
      <c r="D8" s="33">
        <v>2.734375E-2</v>
      </c>
      <c r="O8">
        <v>2.1018266677856445E-2</v>
      </c>
      <c r="P8">
        <v>-1.0725411437352506E-2</v>
      </c>
    </row>
    <row r="9" spans="1:16" x14ac:dyDescent="0.25">
      <c r="A9" s="33">
        <f t="shared" si="0"/>
        <v>80</v>
      </c>
      <c r="B9" s="33">
        <v>2.6984691619873047E-2</v>
      </c>
      <c r="C9" s="33">
        <v>-5.6652144005209237E-3</v>
      </c>
      <c r="D9" s="33">
        <v>3.125E-2</v>
      </c>
      <c r="O9">
        <v>2.6984691619873047E-2</v>
      </c>
      <c r="P9">
        <v>-1.3596616651874172E-2</v>
      </c>
    </row>
    <row r="10" spans="1:16" x14ac:dyDescent="0.25">
      <c r="A10" s="33">
        <f t="shared" si="0"/>
        <v>90</v>
      </c>
      <c r="B10" s="33">
        <v>3.2009363174438477E-2</v>
      </c>
      <c r="C10" s="33">
        <v>-3.9016769878266189E-3</v>
      </c>
      <c r="D10" s="33">
        <v>4.296875E-2</v>
      </c>
      <c r="O10">
        <v>3.2009363174438477E-2</v>
      </c>
      <c r="P10">
        <v>3.7629334726254626E-3</v>
      </c>
    </row>
    <row r="11" spans="1:16" x14ac:dyDescent="0.25">
      <c r="A11" s="33">
        <f>A10+10</f>
        <v>100</v>
      </c>
      <c r="B11" s="33">
        <v>4.1515827178955078E-2</v>
      </c>
      <c r="C11" s="33">
        <v>-2.5756427225918088E-3</v>
      </c>
      <c r="D11" s="33">
        <v>4.6875E-2</v>
      </c>
      <c r="O11">
        <v>4.1515827178955078E-2</v>
      </c>
      <c r="P11">
        <v>9.5514600434531971E-3</v>
      </c>
    </row>
    <row r="12" spans="1:16" x14ac:dyDescent="0.25">
      <c r="A12" s="33">
        <f>A11+100</f>
        <v>200</v>
      </c>
      <c r="B12" s="33">
        <v>8.9529037475585938E-2</v>
      </c>
      <c r="C12" s="33">
        <v>1.9749735454244188E-3</v>
      </c>
      <c r="D12" s="33">
        <v>0.1171875</v>
      </c>
      <c r="O12">
        <v>8.9529037475585938E-2</v>
      </c>
      <c r="P12">
        <v>-3.4744352127802358E-3</v>
      </c>
    </row>
    <row r="13" spans="1:16" x14ac:dyDescent="0.25">
      <c r="A13" s="33">
        <f t="shared" ref="A13:A20" si="1">A12+100</f>
        <v>300</v>
      </c>
      <c r="B13" s="33">
        <v>0.23204493522644043</v>
      </c>
      <c r="C13" s="33">
        <v>2.5778019585587231E-3</v>
      </c>
      <c r="D13" s="33">
        <v>0.2109375</v>
      </c>
      <c r="O13">
        <v>0.23204493522644043</v>
      </c>
      <c r="P13">
        <v>-5.6536301010599033E-3</v>
      </c>
    </row>
    <row r="14" spans="1:16" x14ac:dyDescent="0.25">
      <c r="A14" s="33">
        <f t="shared" si="1"/>
        <v>400</v>
      </c>
      <c r="B14" s="33">
        <v>0.25069022178649902</v>
      </c>
      <c r="C14" s="33">
        <v>2.5258024726362294E-3</v>
      </c>
      <c r="D14" s="33">
        <v>0.34765625</v>
      </c>
      <c r="O14">
        <v>0.25069022178649902</v>
      </c>
      <c r="P14">
        <v>-2.2418847561844757E-3</v>
      </c>
    </row>
    <row r="15" spans="1:16" x14ac:dyDescent="0.25">
      <c r="A15" s="33">
        <f t="shared" si="1"/>
        <v>500</v>
      </c>
      <c r="B15" s="33">
        <v>0.45318865776062012</v>
      </c>
      <c r="C15" s="33">
        <v>2.3141775409012411E-3</v>
      </c>
      <c r="D15" s="33">
        <v>0.4453125</v>
      </c>
      <c r="O15">
        <v>0.45318865776062012</v>
      </c>
      <c r="P15">
        <v>9.2831182320907146E-4</v>
      </c>
    </row>
    <row r="16" spans="1:16" x14ac:dyDescent="0.25">
      <c r="A16" s="33">
        <f t="shared" si="1"/>
        <v>600</v>
      </c>
      <c r="B16" s="33">
        <v>0.49365401268005371</v>
      </c>
      <c r="C16" s="33">
        <v>2.0663674073144733E-3</v>
      </c>
      <c r="D16" s="33">
        <v>0.609375</v>
      </c>
      <c r="O16">
        <v>0.49365401268005371</v>
      </c>
      <c r="P16">
        <v>1.6016800862823644E-3</v>
      </c>
    </row>
    <row r="17" spans="1:16" x14ac:dyDescent="0.25">
      <c r="A17" s="33">
        <f t="shared" si="1"/>
        <v>700</v>
      </c>
      <c r="B17" s="33">
        <v>0.70267319679260254</v>
      </c>
      <c r="C17" s="33">
        <v>1.8200692844718702E-3</v>
      </c>
      <c r="D17" s="33">
        <v>0.79296875</v>
      </c>
      <c r="O17">
        <v>0.70267319679260254</v>
      </c>
      <c r="P17">
        <v>-9.6617579377955565E-4</v>
      </c>
    </row>
    <row r="18" spans="1:16" x14ac:dyDescent="0.25">
      <c r="A18" s="33">
        <f t="shared" si="1"/>
        <v>800</v>
      </c>
      <c r="B18" s="33">
        <v>0.86217141151428223</v>
      </c>
      <c r="C18" s="33">
        <v>1.587357801863476E-3</v>
      </c>
      <c r="D18" s="33">
        <v>0.984375</v>
      </c>
      <c r="O18">
        <v>0.86217141151428223</v>
      </c>
      <c r="P18">
        <v>2.7113199524464449E-4</v>
      </c>
    </row>
    <row r="19" spans="1:16" x14ac:dyDescent="0.25">
      <c r="A19" s="33">
        <f t="shared" si="1"/>
        <v>900</v>
      </c>
      <c r="B19" s="33">
        <v>1.0532679557800293</v>
      </c>
      <c r="C19" s="33">
        <v>1.3715057935339559E-3</v>
      </c>
      <c r="D19" s="33">
        <v>1.16796875</v>
      </c>
      <c r="O19">
        <v>1.0532679557800293</v>
      </c>
      <c r="P19">
        <v>7.9386154520921792E-4</v>
      </c>
    </row>
    <row r="20" spans="1:16" x14ac:dyDescent="0.25">
      <c r="A20" s="33">
        <f t="shared" si="1"/>
        <v>1000</v>
      </c>
      <c r="B20" s="33">
        <v>1.1408820152282715</v>
      </c>
      <c r="C20" s="33">
        <v>1.1725662188002417E-3</v>
      </c>
      <c r="D20" s="33">
        <v>1.390625</v>
      </c>
      <c r="O20">
        <v>1.1408820152282715</v>
      </c>
      <c r="P20">
        <v>-9.9541016059667697E-4</v>
      </c>
    </row>
    <row r="27" spans="1:16" x14ac:dyDescent="0.25">
      <c r="C27" t="s">
        <v>157</v>
      </c>
      <c r="D27">
        <f>(LOG(B20)-LOG(B11))/(LOG(A20)-LOG(A11))</f>
        <v>1.4390270385891564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D8E6C-D9AE-4F8F-B094-84C68791F85C}">
  <sheetPr codeName="Sheet6"/>
  <dimension ref="A1:V102"/>
  <sheetViews>
    <sheetView showGridLines="0" zoomScale="85" zoomScaleNormal="85" workbookViewId="0">
      <selection activeCell="G24" sqref="G24"/>
    </sheetView>
  </sheetViews>
  <sheetFormatPr baseColWidth="10" defaultColWidth="9" defaultRowHeight="15" x14ac:dyDescent="0.25"/>
  <cols>
    <col min="1" max="1" width="9.5703125" style="5" bestFit="1" customWidth="1"/>
    <col min="2" max="2" width="9" style="5"/>
    <col min="3" max="3" width="14.28515625" style="5" bestFit="1" customWidth="1"/>
    <col min="4" max="4" width="9" style="5"/>
    <col min="5" max="5" width="14.5703125" style="5" bestFit="1" customWidth="1"/>
    <col min="6" max="16384" width="9" style="5"/>
  </cols>
  <sheetData>
    <row r="1" spans="1:15" x14ac:dyDescent="0.25">
      <c r="A1" s="35" t="s">
        <v>151</v>
      </c>
      <c r="B1" s="35" t="s">
        <v>152</v>
      </c>
      <c r="C1" s="35" t="s">
        <v>153</v>
      </c>
      <c r="D1" s="35" t="s">
        <v>33</v>
      </c>
      <c r="E1" s="35" t="s">
        <v>155</v>
      </c>
      <c r="F1" s="35" t="s">
        <v>156</v>
      </c>
    </row>
    <row r="2" spans="1:15" x14ac:dyDescent="0.25">
      <c r="A2" s="10">
        <v>50</v>
      </c>
      <c r="B2" s="10">
        <v>-0.98177294921264036</v>
      </c>
      <c r="C2" s="10">
        <v>3.4519359539172002E-3</v>
      </c>
      <c r="D2" s="10">
        <v>1.9465256400273745E-2</v>
      </c>
      <c r="E2" s="10">
        <v>4.1418046009539466E-2</v>
      </c>
      <c r="F2" s="10">
        <v>0.36323027227638244</v>
      </c>
    </row>
    <row r="3" spans="1:15" x14ac:dyDescent="0.25">
      <c r="A3" s="10">
        <f>A2+1</f>
        <v>51</v>
      </c>
      <c r="B3" s="10">
        <v>-0.97917731908300065</v>
      </c>
      <c r="C3" s="10">
        <v>3.9272388994207354E-3</v>
      </c>
      <c r="D3" s="10">
        <v>2.3681477283929553E-2</v>
      </c>
      <c r="E3" s="10">
        <v>4.3888765968112864E-2</v>
      </c>
      <c r="F3" s="10">
        <v>0.39676325967361414</v>
      </c>
      <c r="J3" s="10"/>
    </row>
    <row r="4" spans="1:15" x14ac:dyDescent="0.25">
      <c r="A4" s="10">
        <f t="shared" ref="A4:A67" si="0">A3+1</f>
        <v>52</v>
      </c>
      <c r="B4" s="10">
        <v>-0.97366582405610491</v>
      </c>
      <c r="C4" s="10">
        <v>4.5940096975801877E-3</v>
      </c>
      <c r="D4" s="10">
        <v>2.7912844273714654E-2</v>
      </c>
      <c r="E4" s="10">
        <v>4.6664536926009248E-2</v>
      </c>
      <c r="F4" s="10">
        <v>0.44168811259058199</v>
      </c>
    </row>
    <row r="5" spans="1:15" x14ac:dyDescent="0.25">
      <c r="A5" s="10">
        <f t="shared" si="0"/>
        <v>53</v>
      </c>
      <c r="B5" s="10">
        <v>-0.96944573979907278</v>
      </c>
      <c r="C5" s="10">
        <v>5.0646612279829969E-3</v>
      </c>
      <c r="D5" s="10">
        <v>3.2690094859908925E-2</v>
      </c>
      <c r="E5" s="10">
        <v>4.9176188874689331E-2</v>
      </c>
      <c r="F5" s="10">
        <v>0.48790822503706466</v>
      </c>
    </row>
    <row r="6" spans="1:15" x14ac:dyDescent="0.25">
      <c r="A6" s="10">
        <f t="shared" si="0"/>
        <v>54</v>
      </c>
      <c r="B6" s="10">
        <v>-0.96546260986539201</v>
      </c>
      <c r="C6" s="10">
        <v>5.7464423568325644E-3</v>
      </c>
      <c r="D6" s="10">
        <v>3.8571273478744672E-2</v>
      </c>
      <c r="E6" s="10">
        <v>5.0819368800738118E-2</v>
      </c>
      <c r="F6" s="10">
        <v>0.58165176826371379</v>
      </c>
    </row>
    <row r="7" spans="1:15" x14ac:dyDescent="0.25">
      <c r="A7" s="10">
        <f t="shared" si="0"/>
        <v>55</v>
      </c>
      <c r="B7" s="10">
        <v>-0.95621634547572143</v>
      </c>
      <c r="C7" s="10">
        <v>6.4960415803822745E-3</v>
      </c>
      <c r="D7" s="10">
        <v>4.4359594894146426E-2</v>
      </c>
      <c r="E7" s="10">
        <v>5.2736700323293917E-2</v>
      </c>
      <c r="F7" s="10">
        <v>0.63965111518433038</v>
      </c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0">
        <f t="shared" si="0"/>
        <v>56</v>
      </c>
      <c r="B8" s="10">
        <v>-0.95089488961359281</v>
      </c>
      <c r="C8" s="10">
        <v>7.0436200815853977E-3</v>
      </c>
      <c r="D8" s="10">
        <v>5.0720885457813836E-2</v>
      </c>
      <c r="E8" s="10">
        <v>5.4200528926500624E-2</v>
      </c>
      <c r="F8" s="10">
        <v>0.67665120956699498</v>
      </c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0">
        <f t="shared" si="0"/>
        <v>57</v>
      </c>
      <c r="B9" s="10">
        <v>-0.94506902978249918</v>
      </c>
      <c r="C9" s="10">
        <v>7.7449623897567453E-3</v>
      </c>
      <c r="D9" s="10">
        <v>5.8341930720683166E-2</v>
      </c>
      <c r="E9" s="10">
        <v>5.4454934910342701E-2</v>
      </c>
      <c r="F9" s="10">
        <v>0.73921874491190165</v>
      </c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0">
        <f t="shared" si="0"/>
        <v>58</v>
      </c>
      <c r="B10" s="10">
        <v>-0.93871006065147011</v>
      </c>
      <c r="C10" s="10">
        <v>8.6350762504380923E-3</v>
      </c>
      <c r="D10" s="10">
        <v>6.5897358106770554E-2</v>
      </c>
      <c r="E10" s="10">
        <v>5.4749392213722103E-2</v>
      </c>
      <c r="F10" s="10">
        <v>0.77081641392111744</v>
      </c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0">
        <f t="shared" si="0"/>
        <v>59</v>
      </c>
      <c r="B11" s="10">
        <v>-0.92428186600933526</v>
      </c>
      <c r="C11" s="10">
        <v>9.354728141305467E-3</v>
      </c>
      <c r="D11" s="10">
        <v>7.4032172094124604E-2</v>
      </c>
      <c r="E11" s="10">
        <v>5.4356958260353139E-2</v>
      </c>
      <c r="F11" s="10">
        <v>0.83644474422238246</v>
      </c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0">
        <f t="shared" si="0"/>
        <v>60</v>
      </c>
      <c r="B12" s="10">
        <v>-0.91616011849957601</v>
      </c>
      <c r="C12" s="10">
        <v>9.9570231063294858E-3</v>
      </c>
      <c r="D12" s="10">
        <v>8.2740323242774139E-2</v>
      </c>
      <c r="E12" s="10">
        <v>5.4940989409107743E-2</v>
      </c>
      <c r="F12" s="10">
        <v>0.85844710827457738</v>
      </c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0">
        <f t="shared" si="0"/>
        <v>61</v>
      </c>
      <c r="B13" s="10">
        <v>-0.90740091445783089</v>
      </c>
      <c r="C13" s="10">
        <v>1.0621680702433516E-2</v>
      </c>
      <c r="D13" s="10">
        <v>9.1617619498883585E-2</v>
      </c>
      <c r="E13" s="10">
        <v>5.5792766612018596E-2</v>
      </c>
      <c r="F13" s="10">
        <v>0.92518734140279069</v>
      </c>
      <c r="H13" s="18"/>
      <c r="I13" s="18"/>
      <c r="J13" s="18"/>
      <c r="K13" s="18"/>
      <c r="L13" s="18"/>
      <c r="M13" s="18"/>
      <c r="N13" s="18"/>
      <c r="O13" s="18"/>
    </row>
    <row r="14" spans="1:15" x14ac:dyDescent="0.25">
      <c r="A14" s="10">
        <f t="shared" si="0"/>
        <v>62</v>
      </c>
      <c r="B14" s="10">
        <v>-0.89798251901961013</v>
      </c>
      <c r="C14" s="10">
        <v>1.1427541537192861E-2</v>
      </c>
      <c r="D14" s="10">
        <v>0.10119733027899258</v>
      </c>
      <c r="E14" s="10">
        <v>5.6135822118331902E-2</v>
      </c>
      <c r="F14" s="10">
        <v>0.93285942723655702</v>
      </c>
      <c r="H14" s="18"/>
      <c r="I14" s="18"/>
      <c r="J14" s="18"/>
      <c r="K14" s="18"/>
      <c r="L14" s="18"/>
      <c r="M14" s="18"/>
      <c r="N14" s="18"/>
      <c r="O14" s="18"/>
    </row>
    <row r="15" spans="1:15" x14ac:dyDescent="0.25">
      <c r="A15" s="10">
        <f t="shared" si="0"/>
        <v>63</v>
      </c>
      <c r="B15" s="10">
        <v>-0.88788565944342501</v>
      </c>
      <c r="C15" s="10">
        <v>1.2309256132951224E-2</v>
      </c>
      <c r="D15" s="10">
        <v>0.11122855923214914</v>
      </c>
      <c r="E15" s="10">
        <v>5.5838784969580502E-2</v>
      </c>
      <c r="F15" s="10">
        <v>0.99842642850967245</v>
      </c>
      <c r="H15" s="18"/>
      <c r="I15" s="18"/>
      <c r="J15" s="18"/>
      <c r="K15" s="18"/>
      <c r="L15" s="18"/>
      <c r="M15" s="18"/>
      <c r="N15" s="18"/>
      <c r="O15" s="18"/>
    </row>
    <row r="16" spans="1:15" x14ac:dyDescent="0.25">
      <c r="A16" s="10">
        <f t="shared" si="0"/>
        <v>64</v>
      </c>
      <c r="B16" s="10">
        <v>-0.87108980408726056</v>
      </c>
      <c r="C16" s="10">
        <v>1.3162939268714783E-2</v>
      </c>
      <c r="D16" s="10">
        <v>0.12166705502330899</v>
      </c>
      <c r="E16" s="10">
        <v>5.2555501686175177E-2</v>
      </c>
      <c r="F16" s="10">
        <v>1.024410715155244</v>
      </c>
      <c r="H16" s="18"/>
      <c r="I16" s="18"/>
      <c r="J16" s="18"/>
      <c r="K16" s="18"/>
      <c r="L16" s="18"/>
      <c r="M16" s="18"/>
      <c r="N16" s="18"/>
      <c r="O16" s="18"/>
    </row>
    <row r="17" spans="1:15" x14ac:dyDescent="0.25">
      <c r="A17" s="10">
        <f t="shared" si="0"/>
        <v>65</v>
      </c>
      <c r="B17" s="10">
        <v>-0.85337600408889303</v>
      </c>
      <c r="C17" s="10">
        <v>1.3749966662203406E-2</v>
      </c>
      <c r="D17" s="10">
        <v>0.13246003835046949</v>
      </c>
      <c r="E17" s="10">
        <v>4.8324934871768477E-2</v>
      </c>
      <c r="F17" s="10">
        <v>1.0487678301293302</v>
      </c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0">
        <f t="shared" si="0"/>
        <v>66</v>
      </c>
      <c r="B18" s="10">
        <v>-0.84043419232797612</v>
      </c>
      <c r="C18" s="10">
        <v>1.4317644647900645E-2</v>
      </c>
      <c r="D18" s="10">
        <v>0.14354634806243638</v>
      </c>
      <c r="E18" s="10">
        <v>4.5627165574305906E-2</v>
      </c>
      <c r="F18" s="10">
        <v>1.1113257579030462</v>
      </c>
      <c r="H18" s="18"/>
      <c r="I18" s="18"/>
      <c r="J18" s="18"/>
      <c r="K18" s="18"/>
      <c r="L18" s="18"/>
      <c r="M18" s="18"/>
      <c r="N18" s="18"/>
      <c r="O18" s="18"/>
    </row>
    <row r="19" spans="1:15" x14ac:dyDescent="0.25">
      <c r="A19" s="10">
        <f t="shared" si="0"/>
        <v>67</v>
      </c>
      <c r="B19" s="10">
        <v>-0.82676666145489774</v>
      </c>
      <c r="C19" s="10">
        <v>1.4863360512984022E-2</v>
      </c>
      <c r="D19" s="10">
        <v>0.15485675651609299</v>
      </c>
      <c r="E19" s="10">
        <v>4.4519371935411556E-2</v>
      </c>
      <c r="F19" s="10">
        <v>1.1087180017797025</v>
      </c>
      <c r="H19" s="18"/>
      <c r="I19" s="18"/>
      <c r="J19" s="18"/>
      <c r="K19" s="18"/>
      <c r="L19" s="18"/>
      <c r="M19" s="18"/>
      <c r="N19" s="18"/>
      <c r="O19" s="18"/>
    </row>
    <row r="20" spans="1:15" x14ac:dyDescent="0.25">
      <c r="A20" s="10">
        <f t="shared" si="0"/>
        <v>68</v>
      </c>
      <c r="B20" s="10">
        <v>-0.81237595329345957</v>
      </c>
      <c r="C20" s="10">
        <v>1.5384737205268785E-2</v>
      </c>
      <c r="D20" s="10">
        <v>0.16588781960831511</v>
      </c>
      <c r="E20" s="10">
        <v>4.3589048559091736E-2</v>
      </c>
      <c r="F20" s="10">
        <v>1.1248281147266554</v>
      </c>
      <c r="H20" s="18"/>
      <c r="I20" s="18"/>
      <c r="J20" s="18"/>
      <c r="K20" s="18"/>
      <c r="L20" s="18"/>
      <c r="M20" s="18"/>
      <c r="N20" s="18"/>
      <c r="O20" s="18"/>
    </row>
    <row r="21" spans="1:15" x14ac:dyDescent="0.25">
      <c r="A21" s="10">
        <f t="shared" si="0"/>
        <v>69</v>
      </c>
      <c r="B21" s="10">
        <v>-0.79726919134628393</v>
      </c>
      <c r="C21" s="10">
        <v>1.5879654223786923E-2</v>
      </c>
      <c r="D21" s="10">
        <v>0.17637710347755231</v>
      </c>
      <c r="E21" s="10">
        <v>4.0013600261307403E-2</v>
      </c>
      <c r="F21" s="10">
        <v>1.1799410330296087</v>
      </c>
      <c r="H21" s="18"/>
      <c r="I21" s="18"/>
      <c r="J21" s="18"/>
      <c r="K21" s="18"/>
      <c r="L21" s="18"/>
      <c r="M21" s="18"/>
      <c r="N21" s="18"/>
      <c r="O21" s="18"/>
    </row>
    <row r="22" spans="1:15" x14ac:dyDescent="0.25">
      <c r="A22" s="10">
        <f t="shared" si="0"/>
        <v>70</v>
      </c>
      <c r="B22" s="10">
        <v>-0.78145825018717718</v>
      </c>
      <c r="C22" s="10">
        <v>1.6346262435245867E-2</v>
      </c>
      <c r="D22" s="10">
        <v>0.1869481437941225</v>
      </c>
      <c r="E22" s="10">
        <v>3.4042190414773188E-2</v>
      </c>
      <c r="F22" s="10">
        <v>1.092558143525427</v>
      </c>
    </row>
    <row r="23" spans="1:15" x14ac:dyDescent="0.25">
      <c r="A23" s="10">
        <f t="shared" si="0"/>
        <v>71</v>
      </c>
      <c r="B23" s="10">
        <v>-0.76495987497525586</v>
      </c>
      <c r="C23" s="10">
        <v>1.6782992550507695E-2</v>
      </c>
      <c r="D23" s="10">
        <v>0.19753889128079649</v>
      </c>
      <c r="E23" s="10">
        <v>3.3183685981676092E-2</v>
      </c>
      <c r="F23" s="10">
        <v>0.95949835047453413</v>
      </c>
    </row>
    <row r="24" spans="1:15" x14ac:dyDescent="0.25">
      <c r="A24" s="10">
        <f t="shared" si="0"/>
        <v>72</v>
      </c>
      <c r="B24" s="10">
        <v>-0.74779574687893691</v>
      </c>
      <c r="C24" s="10">
        <v>1.7194288377575116E-2</v>
      </c>
      <c r="D24" s="10">
        <v>0.20808356955190632</v>
      </c>
      <c r="E24" s="10">
        <v>3.205562698956399E-2</v>
      </c>
      <c r="F24" s="10">
        <v>0.99789271019748105</v>
      </c>
    </row>
    <row r="25" spans="1:15" x14ac:dyDescent="0.25">
      <c r="A25" s="10">
        <f t="shared" si="0"/>
        <v>73</v>
      </c>
      <c r="B25" s="10">
        <v>-0.72999249097040786</v>
      </c>
      <c r="C25" s="10">
        <v>1.7561946675064728E-2</v>
      </c>
      <c r="D25" s="10">
        <v>0.2185132977684674</v>
      </c>
      <c r="E25" s="10">
        <v>2.8080689288671579E-2</v>
      </c>
      <c r="F25" s="10">
        <v>1.034740043465717</v>
      </c>
    </row>
    <row r="26" spans="1:15" x14ac:dyDescent="0.25">
      <c r="A26" s="10">
        <f t="shared" si="0"/>
        <v>74</v>
      </c>
      <c r="B26" s="10">
        <v>-0.71158162405729108</v>
      </c>
      <c r="C26" s="10">
        <v>1.7902418845748395E-2</v>
      </c>
      <c r="D26" s="10">
        <v>0.22875679509519031</v>
      </c>
      <c r="E26" s="10">
        <v>2.2111273472884108E-2</v>
      </c>
      <c r="F26" s="10">
        <v>1.0697602463398441</v>
      </c>
    </row>
    <row r="27" spans="1:15" x14ac:dyDescent="0.25">
      <c r="A27" s="10">
        <f t="shared" si="0"/>
        <v>75</v>
      </c>
      <c r="B27" s="10">
        <v>-0.69259944091479997</v>
      </c>
      <c r="C27" s="10">
        <v>1.8209483459311032E-2</v>
      </c>
      <c r="D27" s="10">
        <v>0.23874115791250361</v>
      </c>
      <c r="E27" s="10">
        <v>2.072916251239576E-2</v>
      </c>
      <c r="F27" s="10">
        <v>1.1007503047830862</v>
      </c>
    </row>
    <row r="28" spans="1:15" x14ac:dyDescent="0.25">
      <c r="A28" s="10">
        <f t="shared" si="0"/>
        <v>76</v>
      </c>
      <c r="B28" s="10">
        <v>-0.67308683847133155</v>
      </c>
      <c r="C28" s="10">
        <v>1.8482881810329029E-2</v>
      </c>
      <c r="D28" s="10">
        <v>0.24839269869842973</v>
      </c>
      <c r="E28" s="10">
        <v>1.9148999622158769E-2</v>
      </c>
      <c r="F28" s="10">
        <v>0.84788223299936405</v>
      </c>
    </row>
    <row r="29" spans="1:15" x14ac:dyDescent="0.25">
      <c r="A29" s="10">
        <f t="shared" si="0"/>
        <v>77</v>
      </c>
      <c r="B29" s="10">
        <v>-0.65308907859235266</v>
      </c>
      <c r="C29" s="10">
        <v>1.8722562426349131E-2</v>
      </c>
      <c r="D29" s="10">
        <v>0.25763783363598414</v>
      </c>
      <c r="E29" s="10">
        <v>1.1658692376231627E-2</v>
      </c>
      <c r="F29" s="10">
        <v>0.76408718577469925</v>
      </c>
    </row>
    <row r="30" spans="1:15" x14ac:dyDescent="0.25">
      <c r="A30" s="10">
        <f t="shared" si="0"/>
        <v>78</v>
      </c>
      <c r="B30" s="10">
        <v>-0.63265549124244747</v>
      </c>
      <c r="C30" s="10">
        <v>1.8928653776619109E-2</v>
      </c>
      <c r="D30" s="10">
        <v>0.26640400439145218</v>
      </c>
      <c r="E30" s="10">
        <v>1.038734959753107E-2</v>
      </c>
      <c r="F30" s="10">
        <v>0.78068222848970981</v>
      </c>
    </row>
    <row r="31" spans="1:15" x14ac:dyDescent="0.25">
      <c r="A31" s="10">
        <f t="shared" si="0"/>
        <v>79</v>
      </c>
      <c r="B31" s="10">
        <v>-0.61183912098497673</v>
      </c>
      <c r="C31" s="10">
        <v>1.9101435025075834E-2</v>
      </c>
      <c r="D31" s="10">
        <v>0.27462061817645278</v>
      </c>
      <c r="E31" s="10">
        <v>9.0009836829061385E-3</v>
      </c>
      <c r="F31" s="10">
        <v>0.795256491517634</v>
      </c>
    </row>
    <row r="32" spans="1:15" x14ac:dyDescent="0.25">
      <c r="A32" s="10">
        <f t="shared" si="0"/>
        <v>80</v>
      </c>
      <c r="B32" s="10">
        <v>-0.59069632080401835</v>
      </c>
      <c r="C32" s="10">
        <v>1.9241305903696659E-2</v>
      </c>
      <c r="D32" s="10">
        <v>0.28114331865367426</v>
      </c>
      <c r="E32" s="10">
        <v>4.2688598934450539E-3</v>
      </c>
      <c r="F32" s="10">
        <v>0.8076844202954403</v>
      </c>
    </row>
    <row r="33" spans="1:22" x14ac:dyDescent="0.25">
      <c r="A33" s="10">
        <f t="shared" si="0"/>
        <v>81</v>
      </c>
      <c r="B33" s="10">
        <v>-0.58384268932673322</v>
      </c>
      <c r="C33" s="10">
        <v>1.9272680152650278E-2</v>
      </c>
      <c r="D33" s="10">
        <v>0.28593383632284031</v>
      </c>
      <c r="E33" s="10">
        <v>5.5960038206563922E-3</v>
      </c>
      <c r="F33" s="10">
        <v>0.60103551835000835</v>
      </c>
    </row>
    <row r="34" spans="1:22" x14ac:dyDescent="0.25">
      <c r="A34" s="10">
        <f t="shared" si="0"/>
        <v>82</v>
      </c>
      <c r="B34" s="10">
        <v>-0.5692862983647321</v>
      </c>
      <c r="C34" s="10">
        <v>1.9008444911933483E-2</v>
      </c>
      <c r="D34" s="10">
        <v>0.29091657086505052</v>
      </c>
      <c r="E34" s="10">
        <v>5.9503347925904393E-3</v>
      </c>
      <c r="F34" s="10">
        <v>0.6077079586074583</v>
      </c>
    </row>
    <row r="35" spans="1:22" x14ac:dyDescent="0.25">
      <c r="A35" s="10">
        <f t="shared" si="0"/>
        <v>83</v>
      </c>
      <c r="B35" s="10">
        <v>-0.54767062070448924</v>
      </c>
      <c r="C35" s="10">
        <v>1.8685065928736484E-2</v>
      </c>
      <c r="D35" s="10">
        <v>0.29710901517900368</v>
      </c>
      <c r="E35" s="10">
        <v>1.5631454271805012E-3</v>
      </c>
      <c r="F35" s="10">
        <v>0.6126170805853135</v>
      </c>
    </row>
    <row r="36" spans="1:22" x14ac:dyDescent="0.25">
      <c r="A36" s="10">
        <f t="shared" si="0"/>
        <v>84</v>
      </c>
      <c r="B36" s="10">
        <v>-0.52591268424735593</v>
      </c>
      <c r="C36" s="10">
        <v>1.8441820775431071E-2</v>
      </c>
      <c r="D36" s="10">
        <v>0.30250237234897703</v>
      </c>
      <c r="E36" s="10">
        <v>6.7901000933012767E-4</v>
      </c>
      <c r="F36" s="10">
        <v>0.61571916207211619</v>
      </c>
      <c r="V36" s="10"/>
    </row>
    <row r="37" spans="1:22" x14ac:dyDescent="0.25">
      <c r="A37" s="10">
        <f t="shared" si="0"/>
        <v>85</v>
      </c>
      <c r="B37" s="10">
        <v>-0.5040771577377674</v>
      </c>
      <c r="C37" s="10">
        <v>1.8267871381888599E-2</v>
      </c>
      <c r="D37" s="10">
        <v>0.30704933501082365</v>
      </c>
      <c r="E37" s="10">
        <v>-2.308239636885645E-4</v>
      </c>
      <c r="F37" s="10">
        <v>0.39864968864906514</v>
      </c>
    </row>
    <row r="38" spans="1:22" x14ac:dyDescent="0.25">
      <c r="A38" s="10">
        <f t="shared" si="0"/>
        <v>86</v>
      </c>
      <c r="B38" s="10">
        <v>-0.48222940619202254</v>
      </c>
      <c r="C38" s="10">
        <v>1.8232023710795974E-2</v>
      </c>
      <c r="D38" s="10">
        <v>0.31070967163609531</v>
      </c>
      <c r="E38" s="10">
        <v>-2.0928225388541222E-3</v>
      </c>
      <c r="F38" s="10">
        <v>0.39250429395203856</v>
      </c>
    </row>
    <row r="39" spans="1:22" x14ac:dyDescent="0.25">
      <c r="A39" s="10">
        <f t="shared" si="0"/>
        <v>87</v>
      </c>
      <c r="B39" s="10">
        <v>-0.46043490449608077</v>
      </c>
      <c r="C39" s="10">
        <v>1.8170936363074989E-2</v>
      </c>
      <c r="D39" s="10">
        <v>0.31345081923611673</v>
      </c>
      <c r="E39" s="10">
        <v>-2.112521354247221E-3</v>
      </c>
      <c r="F39" s="10">
        <v>0.37418456739002726</v>
      </c>
    </row>
    <row r="40" spans="1:22" x14ac:dyDescent="0.25">
      <c r="A40" s="10">
        <f t="shared" si="0"/>
        <v>88</v>
      </c>
      <c r="B40" s="10">
        <v>-0.45778882186824965</v>
      </c>
      <c r="C40" s="10">
        <v>1.793627852653483E-2</v>
      </c>
      <c r="D40" s="10">
        <v>0.31524753893780044</v>
      </c>
      <c r="E40" s="10">
        <v>-2.1224123653720284E-3</v>
      </c>
      <c r="F40" s="10">
        <v>0.17950524482057695</v>
      </c>
    </row>
    <row r="41" spans="1:22" x14ac:dyDescent="0.25">
      <c r="A41" s="10">
        <f t="shared" si="0"/>
        <v>89</v>
      </c>
      <c r="B41" s="10">
        <v>-0.438758649318855</v>
      </c>
      <c r="C41" s="10">
        <v>1.7329702594434834E-2</v>
      </c>
      <c r="D41" s="10">
        <v>0.31703265573300143</v>
      </c>
      <c r="E41" s="10">
        <v>-2.1363412112318514E-3</v>
      </c>
      <c r="F41" s="10">
        <v>0.16312612922994729</v>
      </c>
    </row>
    <row r="42" spans="1:22" x14ac:dyDescent="0.25">
      <c r="A42" s="10">
        <f t="shared" si="0"/>
        <v>90</v>
      </c>
      <c r="B42" s="10">
        <v>-0.4172645781878358</v>
      </c>
      <c r="C42" s="10">
        <v>1.6864512203769146E-2</v>
      </c>
      <c r="D42" s="10">
        <v>0.31785304893025668</v>
      </c>
      <c r="E42" s="10">
        <v>-2.1397471752759856E-3</v>
      </c>
      <c r="F42" s="10">
        <v>0.17664944093493459</v>
      </c>
    </row>
    <row r="43" spans="1:22" x14ac:dyDescent="0.25">
      <c r="A43" s="10">
        <f t="shared" si="0"/>
        <v>91</v>
      </c>
      <c r="B43" s="10">
        <v>-0.39601500438515025</v>
      </c>
      <c r="C43" s="10">
        <v>1.6624839474207207E-2</v>
      </c>
      <c r="D43" s="10">
        <v>0.3177017231710737</v>
      </c>
      <c r="E43" s="10">
        <v>-2.4019989238777129E-4</v>
      </c>
      <c r="F43" s="10">
        <v>7.3858169900264697E-2</v>
      </c>
    </row>
    <row r="44" spans="1:22" x14ac:dyDescent="0.25">
      <c r="A44" s="10">
        <f t="shared" si="0"/>
        <v>92</v>
      </c>
      <c r="B44" s="10">
        <v>-0.37507007589770752</v>
      </c>
      <c r="C44" s="10">
        <v>1.6469994244435602E-2</v>
      </c>
      <c r="D44" s="10">
        <v>0.31658057496660241</v>
      </c>
      <c r="E44" s="10">
        <v>7.101882154909589E-4</v>
      </c>
      <c r="F44" s="10">
        <v>-3.6401031231384544E-2</v>
      </c>
    </row>
    <row r="45" spans="1:22" x14ac:dyDescent="0.25">
      <c r="A45" s="10">
        <f t="shared" si="0"/>
        <v>93</v>
      </c>
      <c r="B45" s="10">
        <v>-0.37507007589680325</v>
      </c>
      <c r="C45" s="10">
        <v>1.6116499151458435E-2</v>
      </c>
      <c r="D45" s="10">
        <v>0.3182969080150313</v>
      </c>
      <c r="E45" s="10">
        <v>7.1532106925342731E-4</v>
      </c>
      <c r="F45" s="10">
        <v>-3.5771538054446127E-2</v>
      </c>
    </row>
    <row r="46" spans="1:22" x14ac:dyDescent="0.25">
      <c r="A46" s="10">
        <f t="shared" si="0"/>
        <v>94</v>
      </c>
      <c r="B46" s="10">
        <v>-0.35448726635831035</v>
      </c>
      <c r="C46" s="10">
        <v>1.5381615675392042E-2</v>
      </c>
      <c r="D46" s="10">
        <v>0.31618447967091523</v>
      </c>
      <c r="E46" s="10">
        <v>1.661863743676939E-3</v>
      </c>
      <c r="F46" s="10">
        <v>-0.16109087534595967</v>
      </c>
    </row>
    <row r="47" spans="1:22" x14ac:dyDescent="0.25">
      <c r="A47" s="10">
        <f t="shared" si="0"/>
        <v>95</v>
      </c>
      <c r="B47" s="10">
        <v>-0.33432090501806305</v>
      </c>
      <c r="C47" s="10">
        <v>1.4950947070792513E-2</v>
      </c>
      <c r="D47" s="10">
        <v>0.31312807137501153</v>
      </c>
      <c r="E47" s="10">
        <v>3.6690152496632322E-3</v>
      </c>
      <c r="F47" s="10">
        <v>-0.23402831372183225</v>
      </c>
    </row>
    <row r="48" spans="1:22" x14ac:dyDescent="0.25">
      <c r="A48" s="10">
        <f t="shared" si="0"/>
        <v>96</v>
      </c>
      <c r="B48" s="10">
        <v>-0.31462175219199029</v>
      </c>
      <c r="C48" s="10">
        <v>1.4752955959380223E-2</v>
      </c>
      <c r="D48" s="10">
        <v>0.30915581518186208</v>
      </c>
      <c r="E48" s="10">
        <v>8.2217078490280926E-3</v>
      </c>
      <c r="F48" s="10">
        <v>-0.22826429597143832</v>
      </c>
    </row>
    <row r="49" spans="1:6" x14ac:dyDescent="0.25">
      <c r="A49" s="10">
        <f t="shared" si="0"/>
        <v>97</v>
      </c>
      <c r="B49" s="10">
        <v>-0.31026346590217901</v>
      </c>
      <c r="C49" s="10">
        <v>1.4453734637005658E-2</v>
      </c>
      <c r="D49" s="10">
        <v>0.30854783119082363</v>
      </c>
      <c r="E49" s="10">
        <v>5.7294131834080275E-3</v>
      </c>
      <c r="F49" s="10">
        <v>-0.4168977893565935</v>
      </c>
    </row>
    <row r="50" spans="1:6" x14ac:dyDescent="0.25">
      <c r="A50" s="10">
        <f t="shared" si="0"/>
        <v>98</v>
      </c>
      <c r="B50" s="10">
        <v>-0.29543662555707706</v>
      </c>
      <c r="C50" s="10">
        <v>1.3676773717880054E-2</v>
      </c>
      <c r="D50" s="10">
        <v>0.30586651537217957</v>
      </c>
      <c r="E50" s="10">
        <v>1.0025032052614513E-2</v>
      </c>
      <c r="F50" s="10">
        <v>-0.40481419493366716</v>
      </c>
    </row>
    <row r="51" spans="1:6" x14ac:dyDescent="0.25">
      <c r="A51" s="10">
        <f t="shared" si="0"/>
        <v>99</v>
      </c>
      <c r="B51" s="10">
        <v>-0.27680808178223965</v>
      </c>
      <c r="C51" s="10">
        <v>1.3249215066007323E-2</v>
      </c>
      <c r="D51" s="10">
        <v>0.3001307414583545</v>
      </c>
      <c r="E51" s="10">
        <v>1.1703903241526703E-2</v>
      </c>
      <c r="F51" s="10">
        <v>-0.39190445642987548</v>
      </c>
    </row>
    <row r="52" spans="1:6" x14ac:dyDescent="0.25">
      <c r="A52" s="10">
        <f t="shared" si="0"/>
        <v>100</v>
      </c>
      <c r="B52" s="10">
        <v>-0.25877415678144278</v>
      </c>
      <c r="C52" s="10">
        <v>1.302780315878607E-2</v>
      </c>
      <c r="D52" s="10">
        <v>0.2937471904815272</v>
      </c>
      <c r="E52" s="10">
        <v>1.9658085347086462E-2</v>
      </c>
      <c r="F52" s="10">
        <v>-0.56214340425981824</v>
      </c>
    </row>
    <row r="53" spans="1:6" x14ac:dyDescent="0.25">
      <c r="A53" s="10">
        <f t="shared" si="0"/>
        <v>101</v>
      </c>
      <c r="B53" s="10">
        <v>-0.2587741567824452</v>
      </c>
      <c r="C53" s="10">
        <v>1.2548619369584154E-2</v>
      </c>
      <c r="D53" s="10">
        <v>0.29383698785770473</v>
      </c>
      <c r="E53" s="10">
        <v>1.4584331191130673E-2</v>
      </c>
      <c r="F53" s="10">
        <v>-0.47681364890813016</v>
      </c>
    </row>
    <row r="54" spans="1:6" x14ac:dyDescent="0.25">
      <c r="A54" s="10">
        <f t="shared" si="0"/>
        <v>102</v>
      </c>
      <c r="B54" s="10">
        <v>-0.24136816686129925</v>
      </c>
      <c r="C54" s="10">
        <v>1.1895132390710968E-2</v>
      </c>
      <c r="D54" s="10">
        <v>0.28776107433987796</v>
      </c>
      <c r="E54" s="10">
        <v>2.2183806689511698E-2</v>
      </c>
      <c r="F54" s="10">
        <v>-0.48428890777522687</v>
      </c>
    </row>
    <row r="55" spans="1:6" x14ac:dyDescent="0.25">
      <c r="A55" s="10">
        <f t="shared" si="0"/>
        <v>103</v>
      </c>
      <c r="B55" s="10">
        <v>-0.22461857178633624</v>
      </c>
      <c r="C55" s="10">
        <v>1.1593269631725099E-2</v>
      </c>
      <c r="D55" s="10">
        <v>0.2797793952948342</v>
      </c>
      <c r="E55" s="10">
        <v>2.4292536432395817E-2</v>
      </c>
      <c r="F55" s="10">
        <v>-0.52063570857509289</v>
      </c>
    </row>
    <row r="56" spans="1:6" x14ac:dyDescent="0.25">
      <c r="A56" s="10">
        <f t="shared" si="0"/>
        <v>104</v>
      </c>
      <c r="B56" s="10">
        <v>-0.21874156804084818</v>
      </c>
      <c r="C56" s="10">
        <v>1.1328419762854713E-2</v>
      </c>
      <c r="D56" s="10">
        <v>0.27661139228509324</v>
      </c>
      <c r="E56" s="10">
        <v>2.8934014693425603E-2</v>
      </c>
      <c r="F56" s="10">
        <v>-0.49880117506758603</v>
      </c>
    </row>
    <row r="57" spans="1:6" x14ac:dyDescent="0.25">
      <c r="A57" s="10">
        <f t="shared" si="0"/>
        <v>105</v>
      </c>
      <c r="B57" s="10">
        <v>-0.20854889975563606</v>
      </c>
      <c r="C57" s="10">
        <v>1.0604097533810287E-2</v>
      </c>
      <c r="D57" s="10">
        <v>0.27249157072821228</v>
      </c>
      <c r="E57" s="10">
        <v>2.6337858404685388E-2</v>
      </c>
      <c r="F57" s="10">
        <v>-0.64116687886632084</v>
      </c>
    </row>
    <row r="58" spans="1:6" x14ac:dyDescent="0.25">
      <c r="A58" s="10">
        <f t="shared" si="0"/>
        <v>106</v>
      </c>
      <c r="B58" s="10">
        <v>-0.19317773312692535</v>
      </c>
      <c r="C58" s="10">
        <v>1.0254354079076431E-2</v>
      </c>
      <c r="D58" s="10">
        <v>0.26331136743494943</v>
      </c>
      <c r="E58" s="10">
        <v>3.693882705109397E-2</v>
      </c>
      <c r="F58" s="10">
        <v>-0.61157879348136601</v>
      </c>
    </row>
    <row r="59" spans="1:6" x14ac:dyDescent="0.25">
      <c r="A59" s="10">
        <f t="shared" si="0"/>
        <v>107</v>
      </c>
      <c r="B59" s="10">
        <v>-0.18285667319041274</v>
      </c>
      <c r="C59" s="10">
        <v>1.0030412789711693E-2</v>
      </c>
      <c r="D59" s="10">
        <v>0.258468325468308</v>
      </c>
      <c r="E59" s="10">
        <v>3.4276026082851629E-2</v>
      </c>
      <c r="F59" s="10">
        <v>-0.73328117989961217</v>
      </c>
    </row>
    <row r="60" spans="1:6" x14ac:dyDescent="0.25">
      <c r="A60" s="10">
        <f t="shared" si="0"/>
        <v>108</v>
      </c>
      <c r="B60" s="10">
        <v>-0.17851875272328283</v>
      </c>
      <c r="C60" s="10">
        <v>9.3648329252704245E-3</v>
      </c>
      <c r="D60" s="10">
        <v>0.25484952001420158</v>
      </c>
      <c r="E60" s="10">
        <v>3.9260667875630872E-2</v>
      </c>
      <c r="F60" s="10">
        <v>-0.58161580823979431</v>
      </c>
    </row>
    <row r="61" spans="1:6" x14ac:dyDescent="0.25">
      <c r="A61" s="10">
        <f t="shared" si="0"/>
        <v>109</v>
      </c>
      <c r="B61" s="10">
        <v>-0.16458083763008488</v>
      </c>
      <c r="C61" s="10">
        <v>9.021575935540916E-3</v>
      </c>
      <c r="D61" s="10">
        <v>0.24475799671269094</v>
      </c>
      <c r="E61" s="10">
        <v>4.111604439993588E-2</v>
      </c>
      <c r="F61" s="10">
        <v>-0.58276490695340444</v>
      </c>
    </row>
    <row r="62" spans="1:6" x14ac:dyDescent="0.25">
      <c r="A62" s="10">
        <f t="shared" si="0"/>
        <v>110</v>
      </c>
      <c r="B62" s="10">
        <v>-0.15600219944955238</v>
      </c>
      <c r="C62" s="10">
        <v>8.8085700860969281E-3</v>
      </c>
      <c r="D62" s="10">
        <v>0.23968086292182322</v>
      </c>
      <c r="E62" s="10">
        <v>4.7502274991327642E-2</v>
      </c>
      <c r="F62" s="10">
        <v>-0.6649471242575149</v>
      </c>
    </row>
    <row r="63" spans="1:6" x14ac:dyDescent="0.25">
      <c r="A63" s="10">
        <f t="shared" si="0"/>
        <v>111</v>
      </c>
      <c r="B63" s="10">
        <v>-0.15136821650270421</v>
      </c>
      <c r="C63" s="10">
        <v>8.1930152038567922E-3</v>
      </c>
      <c r="D63" s="10">
        <v>0.23541488146788936</v>
      </c>
      <c r="E63" s="10">
        <v>4.2866881466305351E-2</v>
      </c>
      <c r="F63" s="10">
        <v>-0.62774814100747445</v>
      </c>
    </row>
    <row r="64" spans="1:6" x14ac:dyDescent="0.25">
      <c r="A64" s="10">
        <f t="shared" si="0"/>
        <v>112</v>
      </c>
      <c r="B64" s="10">
        <v>-0.13888066576847999</v>
      </c>
      <c r="C64" s="10">
        <v>7.8992108144985817E-3</v>
      </c>
      <c r="D64" s="10">
        <v>0.22471236636670477</v>
      </c>
      <c r="E64" s="10">
        <v>5.4820351468759743E-2</v>
      </c>
      <c r="F64" s="10">
        <v>-0.72555525632022955</v>
      </c>
    </row>
    <row r="65" spans="1:6" x14ac:dyDescent="0.25">
      <c r="A65" s="10">
        <f t="shared" si="0"/>
        <v>113</v>
      </c>
      <c r="B65" s="10">
        <v>-0.13626416128327287</v>
      </c>
      <c r="C65" s="10">
        <v>7.6523485918113575E-3</v>
      </c>
      <c r="D65" s="10">
        <v>0.22051702445803523</v>
      </c>
      <c r="E65" s="10">
        <v>4.9518733482473376E-2</v>
      </c>
      <c r="F65" s="10">
        <v>-0.59086628371734418</v>
      </c>
    </row>
    <row r="66" spans="1:6" x14ac:dyDescent="0.25">
      <c r="A66" s="10">
        <f t="shared" si="0"/>
        <v>114</v>
      </c>
      <c r="B66" s="10">
        <v>-0.12711374940131132</v>
      </c>
      <c r="C66" s="10">
        <v>7.1159359672806318E-3</v>
      </c>
      <c r="D66" s="10">
        <v>0.21478917544274267</v>
      </c>
      <c r="E66" s="10">
        <v>5.6438396100245036E-2</v>
      </c>
      <c r="F66" s="10">
        <v>-0.68362413346280382</v>
      </c>
    </row>
    <row r="67" spans="1:6" x14ac:dyDescent="0.25">
      <c r="A67" s="10">
        <f t="shared" si="0"/>
        <v>115</v>
      </c>
      <c r="B67" s="10">
        <v>-0.11605909461844134</v>
      </c>
      <c r="C67" s="10">
        <v>6.8865946822811051E-3</v>
      </c>
      <c r="D67" s="10">
        <v>0.20580539801506159</v>
      </c>
      <c r="E67" s="10">
        <v>5.5986449622171364E-2</v>
      </c>
      <c r="F67" s="10">
        <v>-0.6407064613160921</v>
      </c>
    </row>
    <row r="68" spans="1:6" x14ac:dyDescent="0.25">
      <c r="A68" s="10">
        <f t="shared" ref="A68:A102" si="1">A67+1</f>
        <v>116</v>
      </c>
      <c r="B68" s="10">
        <v>-0.1160590946175291</v>
      </c>
      <c r="C68" s="10">
        <v>6.5475127731630389E-3</v>
      </c>
      <c r="D68" s="10">
        <v>0.20123835653324607</v>
      </c>
      <c r="E68" s="10">
        <v>6.1101956444535421E-2</v>
      </c>
      <c r="F68" s="10">
        <v>-0.72059164578189949</v>
      </c>
    </row>
    <row r="69" spans="1:6" x14ac:dyDescent="0.25">
      <c r="A69" s="10">
        <f t="shared" si="1"/>
        <v>117</v>
      </c>
      <c r="B69" s="10">
        <v>-0.10570469742532965</v>
      </c>
      <c r="C69" s="10">
        <v>6.1463087295662508E-3</v>
      </c>
      <c r="D69" s="10">
        <v>0.19356541289876339</v>
      </c>
      <c r="E69" s="10">
        <v>6.1747099525719884E-2</v>
      </c>
      <c r="F69" s="10">
        <v>-0.59993054270395263</v>
      </c>
    </row>
    <row r="70" spans="1:6" x14ac:dyDescent="0.25">
      <c r="A70" s="10">
        <f t="shared" si="1"/>
        <v>118</v>
      </c>
      <c r="B70" s="10">
        <v>-9.6035251848790373E-2</v>
      </c>
      <c r="C70" s="10">
        <v>5.9794651752294878E-3</v>
      </c>
      <c r="D70" s="10">
        <v>0.18720015872958151</v>
      </c>
      <c r="E70" s="10">
        <v>6.5746338209775823E-2</v>
      </c>
      <c r="F70" s="10">
        <v>-0.67250312847247962</v>
      </c>
    </row>
    <row r="71" spans="1:6" x14ac:dyDescent="0.25">
      <c r="A71" s="10">
        <f t="shared" si="1"/>
        <v>119</v>
      </c>
      <c r="B71" s="10">
        <v>-9.6035251847775033E-2</v>
      </c>
      <c r="C71" s="10">
        <v>5.5445159126722345E-3</v>
      </c>
      <c r="D71" s="10">
        <v>0.18209758047145996</v>
      </c>
      <c r="E71" s="10">
        <v>6.6529409390857275E-2</v>
      </c>
      <c r="F71" s="10">
        <v>-0.62576700015405573</v>
      </c>
    </row>
    <row r="72" spans="1:6" x14ac:dyDescent="0.25">
      <c r="A72" s="10">
        <f t="shared" si="1"/>
        <v>120</v>
      </c>
      <c r="B72" s="10">
        <v>-8.7032496589838554E-2</v>
      </c>
      <c r="C72" s="10">
        <v>5.3270733648557783E-3</v>
      </c>
      <c r="D72" s="10">
        <v>0.1738387823696228</v>
      </c>
      <c r="E72" s="10">
        <v>6.9284798778228129E-2</v>
      </c>
      <c r="F72" s="10">
        <v>-0.6881933558037836</v>
      </c>
    </row>
    <row r="73" spans="1:6" x14ac:dyDescent="0.25">
      <c r="A73" s="10">
        <f t="shared" si="1"/>
        <v>121</v>
      </c>
      <c r="B73" s="10">
        <v>-8.7032496589907138E-2</v>
      </c>
      <c r="C73" s="10">
        <v>5.085213832615702E-3</v>
      </c>
      <c r="D73" s="10">
        <v>0.16882147609429965</v>
      </c>
      <c r="E73" s="10">
        <v>7.2911817275616242E-2</v>
      </c>
      <c r="F73" s="10">
        <v>-0.58055617445715235</v>
      </c>
    </row>
    <row r="74" spans="1:6" x14ac:dyDescent="0.25">
      <c r="A74" s="10">
        <f t="shared" si="1"/>
        <v>122</v>
      </c>
      <c r="B74" s="10">
        <v>-7.8675572981741104E-2</v>
      </c>
      <c r="C74" s="10">
        <v>4.7372371188575896E-3</v>
      </c>
      <c r="D74" s="10">
        <v>0.16214482180952539</v>
      </c>
      <c r="E74" s="10">
        <v>7.0805077118960558E-2</v>
      </c>
      <c r="F74" s="10">
        <v>-0.63771230225896891</v>
      </c>
    </row>
    <row r="75" spans="1:6" x14ac:dyDescent="0.25">
      <c r="A75" s="10">
        <f t="shared" si="1"/>
        <v>123</v>
      </c>
      <c r="B75" s="10">
        <v>-7.1105992567770462E-2</v>
      </c>
      <c r="C75" s="10">
        <v>4.5999646165610121E-3</v>
      </c>
      <c r="D75" s="10">
        <v>0.15624010985353554</v>
      </c>
      <c r="E75" s="10">
        <v>7.7662679606796292E-2</v>
      </c>
      <c r="F75" s="10">
        <v>-0.58919234621054384</v>
      </c>
    </row>
    <row r="76" spans="1:6" x14ac:dyDescent="0.25">
      <c r="A76" s="10">
        <f t="shared" si="1"/>
        <v>124</v>
      </c>
      <c r="B76" s="10">
        <v>-7.0941388297345878E-2</v>
      </c>
      <c r="C76" s="10">
        <v>4.2489478266123648E-3</v>
      </c>
      <c r="D76" s="10">
        <v>0.15089314626164119</v>
      </c>
      <c r="E76" s="10">
        <v>7.34854024181677E-2</v>
      </c>
      <c r="F76" s="10">
        <v>-0.61606476178181901</v>
      </c>
    </row>
    <row r="77" spans="1:6" x14ac:dyDescent="0.25">
      <c r="A77" s="10">
        <f t="shared" si="1"/>
        <v>125</v>
      </c>
      <c r="B77" s="10">
        <v>-6.3804978800067857E-2</v>
      </c>
      <c r="C77" s="10">
        <v>4.0854945586090256E-3</v>
      </c>
      <c r="D77" s="10">
        <v>0.14434652571668494</v>
      </c>
      <c r="E77" s="10">
        <v>7.905145666273139E-2</v>
      </c>
      <c r="F77" s="10">
        <v>-0.54275939104805326</v>
      </c>
    </row>
    <row r="78" spans="1:6" x14ac:dyDescent="0.25">
      <c r="A78" s="10">
        <f t="shared" si="1"/>
        <v>126</v>
      </c>
      <c r="B78" s="10">
        <v>-6.3804978800386172E-2</v>
      </c>
      <c r="C78" s="10">
        <v>3.8436075995849531E-3</v>
      </c>
      <c r="D78" s="10">
        <v>0.13915214379407503</v>
      </c>
      <c r="E78" s="10">
        <v>7.8568014888608761E-2</v>
      </c>
      <c r="F78" s="10">
        <v>-0.58584477409336244</v>
      </c>
    </row>
    <row r="79" spans="1:6" x14ac:dyDescent="0.25">
      <c r="A79" s="10">
        <f t="shared" si="1"/>
        <v>127</v>
      </c>
      <c r="B79" s="10">
        <v>-5.7239867325459312E-2</v>
      </c>
      <c r="C79" s="10">
        <v>3.6234719655703876E-3</v>
      </c>
      <c r="D79" s="10">
        <v>0.13312962622934754</v>
      </c>
      <c r="E79" s="10">
        <v>7.956921383452209E-2</v>
      </c>
      <c r="F79" s="10">
        <v>-0.53748931227950614</v>
      </c>
    </row>
    <row r="80" spans="1:6" x14ac:dyDescent="0.25">
      <c r="A80" s="10">
        <f t="shared" si="1"/>
        <v>128</v>
      </c>
      <c r="B80" s="10">
        <v>-5.6753060404547348E-2</v>
      </c>
      <c r="C80" s="10">
        <v>3.4784615111755467E-3</v>
      </c>
      <c r="D80" s="10">
        <v>0.12809857934260138</v>
      </c>
      <c r="E80" s="10">
        <v>8.2755805948056094E-2</v>
      </c>
      <c r="F80" s="10">
        <v>-0.5374893122875638</v>
      </c>
    </row>
    <row r="81" spans="1:6" x14ac:dyDescent="0.25">
      <c r="A81" s="10">
        <f t="shared" si="1"/>
        <v>129</v>
      </c>
      <c r="B81" s="10">
        <v>-5.1218410660936513E-2</v>
      </c>
      <c r="C81" s="10">
        <v>3.2125097616869649E-3</v>
      </c>
      <c r="D81" s="10">
        <v>0.12276685298620538</v>
      </c>
      <c r="E81" s="10">
        <v>7.9113942576783947E-2</v>
      </c>
      <c r="F81" s="10">
        <v>-0.49167736467611739</v>
      </c>
    </row>
    <row r="82" spans="1:6" x14ac:dyDescent="0.25">
      <c r="A82" s="10">
        <f t="shared" si="1"/>
        <v>130</v>
      </c>
      <c r="B82" s="10">
        <v>-4.6303139775809403E-2</v>
      </c>
      <c r="C82" s="10">
        <v>3.1101492256883599E-3</v>
      </c>
      <c r="D82" s="10">
        <v>0.11771569342252686</v>
      </c>
      <c r="E82" s="10">
        <v>8.4945804245534995E-2</v>
      </c>
      <c r="F82" s="10">
        <v>-0.52329076307571043</v>
      </c>
    </row>
    <row r="83" spans="1:6" x14ac:dyDescent="0.25">
      <c r="A83" s="10">
        <f t="shared" si="1"/>
        <v>131</v>
      </c>
      <c r="B83" s="10">
        <v>-4.5712132538185388E-2</v>
      </c>
      <c r="C83" s="10">
        <v>2.8604822228876533E-3</v>
      </c>
      <c r="D83" s="10">
        <v>0.11258921760518625</v>
      </c>
      <c r="E83" s="10">
        <v>8.2837711208741172E-2</v>
      </c>
      <c r="F83" s="10">
        <v>-0.44844960801658218</v>
      </c>
    </row>
    <row r="84" spans="1:6" x14ac:dyDescent="0.25">
      <c r="A84" s="10">
        <f t="shared" si="1"/>
        <v>132</v>
      </c>
      <c r="B84" s="10">
        <v>-4.0692038633876819E-2</v>
      </c>
      <c r="C84" s="10">
        <v>2.7528959366992902E-3</v>
      </c>
      <c r="D84" s="10">
        <v>0.10798407382179576</v>
      </c>
      <c r="E84" s="10">
        <v>8.3758546283129509E-2</v>
      </c>
      <c r="F84" s="10">
        <v>-0.47679260887747288</v>
      </c>
    </row>
    <row r="85" spans="1:6" x14ac:dyDescent="0.25">
      <c r="A85" s="10">
        <f t="shared" si="1"/>
        <v>133</v>
      </c>
      <c r="B85" s="10">
        <v>-4.069203863340147E-2</v>
      </c>
      <c r="C85" s="10">
        <v>2.5433712219991604E-3</v>
      </c>
      <c r="D85" s="10">
        <v>0.10306811332641608</v>
      </c>
      <c r="E85" s="10">
        <v>8.5706757418572033E-2</v>
      </c>
      <c r="F85" s="10">
        <v>-0.43315626540104268</v>
      </c>
    </row>
    <row r="86" spans="1:6" x14ac:dyDescent="0.25">
      <c r="A86" s="10">
        <f t="shared" si="1"/>
        <v>134</v>
      </c>
      <c r="B86" s="10">
        <v>-3.6128910578851238E-2</v>
      </c>
      <c r="C86" s="10">
        <v>2.4343788440024882E-3</v>
      </c>
      <c r="D86" s="10">
        <v>9.8882179408964266E-2</v>
      </c>
      <c r="E86" s="10">
        <v>8.2124886960607268E-2</v>
      </c>
      <c r="F86" s="10">
        <v>-0.43315626539754909</v>
      </c>
    </row>
    <row r="87" spans="1:6" x14ac:dyDescent="0.25">
      <c r="A87" s="10">
        <f t="shared" si="1"/>
        <v>135</v>
      </c>
      <c r="B87" s="10">
        <v>-3.6128910579093489E-2</v>
      </c>
      <c r="C87" s="10">
        <v>2.2739564160869489E-3</v>
      </c>
      <c r="D87" s="10">
        <v>9.4180303133946652E-2</v>
      </c>
      <c r="E87" s="10">
        <v>8.7341409932583658E-2</v>
      </c>
      <c r="F87" s="10">
        <v>-0.3923631700790069</v>
      </c>
    </row>
    <row r="88" spans="1:6" x14ac:dyDescent="0.25">
      <c r="A88" s="10">
        <f t="shared" si="1"/>
        <v>136</v>
      </c>
      <c r="B88" s="10">
        <v>-3.1993576593952903E-2</v>
      </c>
      <c r="C88" s="10">
        <v>2.1509391723877266E-3</v>
      </c>
      <c r="D88" s="10">
        <v>9.0386816061122088E-2</v>
      </c>
      <c r="E88" s="10">
        <v>8.4355633955440323E-2</v>
      </c>
      <c r="F88" s="10">
        <v>-0.41242416538574211</v>
      </c>
    </row>
    <row r="89" spans="1:6" x14ac:dyDescent="0.25">
      <c r="A89" s="10">
        <f t="shared" si="1"/>
        <v>137</v>
      </c>
      <c r="B89" s="10">
        <v>-3.1993576594092854E-2</v>
      </c>
      <c r="C89" s="10">
        <v>2.0268019008574632E-3</v>
      </c>
      <c r="D89" s="10">
        <v>8.5901098331946424E-2</v>
      </c>
      <c r="E89" s="10">
        <v>8.4765175237533963E-2</v>
      </c>
      <c r="F89" s="10">
        <v>-0.37792916916308683</v>
      </c>
    </row>
    <row r="90" spans="1:6" x14ac:dyDescent="0.25">
      <c r="A90" s="10">
        <f t="shared" si="1"/>
        <v>138</v>
      </c>
      <c r="B90" s="10">
        <v>-2.8257156981475049E-2</v>
      </c>
      <c r="C90" s="10">
        <v>1.8991456461351129E-3</v>
      </c>
      <c r="D90" s="10">
        <v>8.2473563191891752E-2</v>
      </c>
      <c r="E90" s="10">
        <v>8.5813415233449597E-2</v>
      </c>
      <c r="F90" s="10">
        <v>-0.37214390489965227</v>
      </c>
    </row>
    <row r="91" spans="1:6" x14ac:dyDescent="0.25">
      <c r="A91" s="10">
        <f t="shared" si="1"/>
        <v>139</v>
      </c>
      <c r="B91" s="10">
        <v>-2.8257156981419625E-2</v>
      </c>
      <c r="C91" s="10">
        <v>1.8011483739014224E-3</v>
      </c>
      <c r="D91" s="10">
        <v>7.8204759810327151E-2</v>
      </c>
      <c r="E91" s="10">
        <v>8.3442009996930744E-2</v>
      </c>
      <c r="F91" s="10">
        <v>-0.38238590806715833</v>
      </c>
    </row>
    <row r="92" spans="1:6" x14ac:dyDescent="0.25">
      <c r="A92" s="10">
        <f t="shared" si="1"/>
        <v>140</v>
      </c>
      <c r="B92" s="10">
        <v>-2.4891283293475282E-2</v>
      </c>
      <c r="C92" s="10">
        <v>1.6758031786542724E-3</v>
      </c>
      <c r="D92" s="10">
        <v>7.5101169242640153E-2</v>
      </c>
      <c r="E92" s="10">
        <v>8.5435641143216945E-2</v>
      </c>
      <c r="F92" s="10">
        <v>-0.33482047762435824</v>
      </c>
    </row>
    <row r="93" spans="1:6" x14ac:dyDescent="0.25">
      <c r="A93" s="10">
        <f t="shared" si="1"/>
        <v>141</v>
      </c>
      <c r="B93" s="10">
        <v>-2.4891283293636671E-2</v>
      </c>
      <c r="C93" s="10">
        <v>1.5960508641886817E-3</v>
      </c>
      <c r="D93" s="10">
        <v>7.1064851713521004E-2</v>
      </c>
      <c r="E93" s="10">
        <v>8.448566524960005E-2</v>
      </c>
      <c r="F93" s="10">
        <v>-0.34864127766830993</v>
      </c>
    </row>
    <row r="94" spans="1:6" x14ac:dyDescent="0.25">
      <c r="A94" s="10">
        <f t="shared" si="1"/>
        <v>142</v>
      </c>
      <c r="B94" s="10">
        <v>-2.1868290557872757E-2</v>
      </c>
      <c r="C94" s="10">
        <v>1.4779564564523539E-3</v>
      </c>
      <c r="D94" s="10">
        <v>6.8064209970488676E-2</v>
      </c>
      <c r="E94" s="10">
        <v>8.1930115763303224E-2</v>
      </c>
      <c r="F94" s="10">
        <v>-0.30036357498998817</v>
      </c>
    </row>
    <row r="95" spans="1:6" x14ac:dyDescent="0.25">
      <c r="A95" s="10">
        <f t="shared" si="1"/>
        <v>143</v>
      </c>
      <c r="B95" s="10">
        <v>-2.1868290557856388E-2</v>
      </c>
      <c r="C95" s="10">
        <v>1.410428504418054E-3</v>
      </c>
      <c r="D95" s="10">
        <v>6.4454549309242215E-2</v>
      </c>
      <c r="E95" s="10">
        <v>8.483052399922919E-2</v>
      </c>
      <c r="F95" s="10">
        <v>-0.31249711856662526</v>
      </c>
    </row>
    <row r="96" spans="1:6" x14ac:dyDescent="0.25">
      <c r="A96" s="10">
        <f t="shared" si="1"/>
        <v>144</v>
      </c>
      <c r="B96" s="10">
        <v>-1.9161382458848717E-2</v>
      </c>
      <c r="C96" s="10">
        <v>1.302889100775949E-3</v>
      </c>
      <c r="D96" s="10">
        <v>6.1641875558180015E-2</v>
      </c>
      <c r="E96" s="10">
        <v>8.2034611099157217E-2</v>
      </c>
      <c r="F96" s="10">
        <v>-0.28054687357498281</v>
      </c>
    </row>
    <row r="97" spans="1:6" x14ac:dyDescent="0.25">
      <c r="A97" s="10">
        <f t="shared" si="1"/>
        <v>145</v>
      </c>
      <c r="B97" s="10">
        <v>-1.9161382458768403E-2</v>
      </c>
      <c r="C97" s="10">
        <v>1.2431078082787857E-3</v>
      </c>
      <c r="D97" s="10">
        <v>5.8346903674799749E-2</v>
      </c>
      <c r="E97" s="10">
        <v>8.1847571485916953E-2</v>
      </c>
      <c r="F97" s="10">
        <v>-0.27928871967022922</v>
      </c>
    </row>
    <row r="98" spans="1:6" x14ac:dyDescent="0.25">
      <c r="A98" s="10">
        <f t="shared" si="1"/>
        <v>146</v>
      </c>
      <c r="B98" s="10">
        <v>-1.6744769846265831E-2</v>
      </c>
      <c r="C98" s="10">
        <v>1.1481190917314308E-3</v>
      </c>
      <c r="D98" s="10">
        <v>5.5782017335757245E-2</v>
      </c>
      <c r="E98" s="10">
        <v>8.1964413456953739E-2</v>
      </c>
      <c r="F98" s="10">
        <v>-0.28855676064276436</v>
      </c>
    </row>
    <row r="99" spans="1:6" x14ac:dyDescent="0.25">
      <c r="A99" s="10">
        <f t="shared" si="1"/>
        <v>147</v>
      </c>
      <c r="B99" s="10">
        <v>-1.674476984610291E-2</v>
      </c>
      <c r="C99" s="10">
        <v>1.0928597520692602E-3</v>
      </c>
      <c r="D99" s="10">
        <v>5.2715066421845397E-2</v>
      </c>
      <c r="E99" s="10">
        <v>7.9899975960483732E-2</v>
      </c>
      <c r="F99" s="10">
        <v>-0.2499100611878155</v>
      </c>
    </row>
    <row r="100" spans="1:6" x14ac:dyDescent="0.25">
      <c r="A100" s="10">
        <f t="shared" si="1"/>
        <v>148</v>
      </c>
      <c r="B100" s="10">
        <v>-1.4593783357977735E-2</v>
      </c>
      <c r="C100" s="10">
        <v>1.0113911234967759E-3</v>
      </c>
      <c r="D100" s="10">
        <v>5.0436447300759857E-2</v>
      </c>
      <c r="E100" s="10">
        <v>8.0177994351945669E-2</v>
      </c>
      <c r="F100" s="10">
        <v>-0.25694984032961482</v>
      </c>
    </row>
    <row r="101" spans="1:6" x14ac:dyDescent="0.25">
      <c r="A101" s="10">
        <f t="shared" si="1"/>
        <v>149</v>
      </c>
      <c r="B101" s="10">
        <v>-1.4593783358020055E-2</v>
      </c>
      <c r="C101" s="10">
        <v>9.5843103464959866E-4</v>
      </c>
      <c r="D101" s="10">
        <v>4.7532478064907041E-2</v>
      </c>
      <c r="E101" s="10">
        <v>7.9464899175165055E-2</v>
      </c>
      <c r="F101" s="10">
        <v>-0.2281452680453338</v>
      </c>
    </row>
    <row r="102" spans="1:6" x14ac:dyDescent="0.25">
      <c r="A102" s="10">
        <f t="shared" si="1"/>
        <v>150</v>
      </c>
      <c r="B102" s="10">
        <v>-1.2684961300284497E-2</v>
      </c>
      <c r="C102" s="10">
        <v>8.9066652837022726E-4</v>
      </c>
      <c r="D102" s="10">
        <v>4.5560869530710729E-2</v>
      </c>
      <c r="E102" s="10">
        <v>7.675577964480837E-2</v>
      </c>
      <c r="F102" s="10">
        <v>-0.22814526804538726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5CC06-127A-4BDF-8DD0-9551D4655868}">
  <sheetPr codeName="Sheet3"/>
  <dimension ref="A3:GT139"/>
  <sheetViews>
    <sheetView topLeftCell="A69" zoomScale="55" zoomScaleNormal="55" workbookViewId="0">
      <selection activeCell="AA115" sqref="AA115"/>
    </sheetView>
  </sheetViews>
  <sheetFormatPr baseColWidth="10" defaultColWidth="9" defaultRowHeight="15" x14ac:dyDescent="0.25"/>
  <cols>
    <col min="1" max="1" width="6.140625" style="28" bestFit="1" customWidth="1"/>
    <col min="2" max="2" width="5.140625" style="28" bestFit="1" customWidth="1"/>
    <col min="3" max="3" width="6.140625" style="28" bestFit="1" customWidth="1"/>
    <col min="4" max="4" width="5.140625" style="28" bestFit="1" customWidth="1"/>
    <col min="5" max="5" width="6.140625" style="28" bestFit="1" customWidth="1"/>
    <col min="6" max="6" width="5.140625" style="28" bestFit="1" customWidth="1"/>
    <col min="7" max="7" width="6.140625" style="28" bestFit="1" customWidth="1"/>
    <col min="8" max="8" width="5.140625" style="28" bestFit="1" customWidth="1"/>
    <col min="9" max="9" width="6.140625" style="28" bestFit="1" customWidth="1"/>
    <col min="10" max="10" width="5.140625" style="28" bestFit="1" customWidth="1"/>
    <col min="11" max="11" width="6.140625" style="28" bestFit="1" customWidth="1"/>
    <col min="12" max="12" width="5.140625" style="28" bestFit="1" customWidth="1"/>
    <col min="13" max="13" width="6.140625" style="28" bestFit="1" customWidth="1"/>
    <col min="14" max="14" width="5.140625" style="28" bestFit="1" customWidth="1"/>
    <col min="15" max="15" width="6.140625" style="28" bestFit="1" customWidth="1"/>
    <col min="16" max="16" width="5.140625" style="28" bestFit="1" customWidth="1"/>
    <col min="17" max="17" width="6.140625" style="28" bestFit="1" customWidth="1"/>
    <col min="18" max="18" width="5.140625" style="28" bestFit="1" customWidth="1"/>
    <col min="19" max="19" width="6.140625" style="28" bestFit="1" customWidth="1"/>
    <col min="20" max="20" width="5.140625" style="28" bestFit="1" customWidth="1"/>
    <col min="21" max="21" width="7" style="28" bestFit="1" customWidth="1"/>
    <col min="22" max="22" width="5.140625" style="28" bestFit="1" customWidth="1"/>
    <col min="23" max="23" width="7" style="28" bestFit="1" customWidth="1"/>
    <col min="24" max="24" width="5.140625" style="28" bestFit="1" customWidth="1"/>
    <col min="25" max="25" width="7" style="28" bestFit="1" customWidth="1"/>
    <col min="26" max="26" width="5.140625" style="28" bestFit="1" customWidth="1"/>
    <col min="27" max="27" width="7" style="28" bestFit="1" customWidth="1"/>
    <col min="28" max="28" width="5.140625" style="28" bestFit="1" customWidth="1"/>
    <col min="29" max="29" width="7" style="28" bestFit="1" customWidth="1"/>
    <col min="30" max="30" width="5.140625" style="28" bestFit="1" customWidth="1"/>
    <col min="31" max="31" width="7" style="28" bestFit="1" customWidth="1"/>
    <col min="32" max="32" width="5.140625" style="28" bestFit="1" customWidth="1"/>
    <col min="33" max="33" width="7" style="28" bestFit="1" customWidth="1"/>
    <col min="34" max="34" width="5.140625" style="28" bestFit="1" customWidth="1"/>
    <col min="35" max="35" width="7" style="28" bestFit="1" customWidth="1"/>
    <col min="36" max="36" width="5.140625" style="28" bestFit="1" customWidth="1"/>
    <col min="37" max="37" width="7" style="28" bestFit="1" customWidth="1"/>
    <col min="38" max="38" width="5.140625" style="28" bestFit="1" customWidth="1"/>
    <col min="39" max="39" width="7" style="28" bestFit="1" customWidth="1"/>
    <col min="40" max="40" width="5.140625" style="28" bestFit="1" customWidth="1"/>
    <col min="41" max="41" width="7" style="28" bestFit="1" customWidth="1"/>
    <col min="42" max="42" width="5.140625" style="28" bestFit="1" customWidth="1"/>
    <col min="43" max="43" width="7" style="28" bestFit="1" customWidth="1"/>
    <col min="44" max="44" width="5.140625" style="28" bestFit="1" customWidth="1"/>
    <col min="45" max="45" width="7" style="28" bestFit="1" customWidth="1"/>
    <col min="46" max="46" width="5.140625" style="28" bestFit="1" customWidth="1"/>
    <col min="47" max="47" width="7" style="28" bestFit="1" customWidth="1"/>
    <col min="48" max="48" width="6.140625" style="28" bestFit="1" customWidth="1"/>
    <col min="49" max="49" width="7" style="28" bestFit="1" customWidth="1"/>
    <col min="50" max="50" width="6.140625" style="28" bestFit="1" customWidth="1"/>
    <col min="51" max="51" width="7" style="28" bestFit="1" customWidth="1"/>
    <col min="52" max="52" width="6.140625" style="28" bestFit="1" customWidth="1"/>
    <col min="53" max="53" width="7" style="28" bestFit="1" customWidth="1"/>
    <col min="54" max="54" width="6.140625" style="28" bestFit="1" customWidth="1"/>
    <col min="55" max="55" width="7" style="28" bestFit="1" customWidth="1"/>
    <col min="56" max="56" width="6.140625" style="28" bestFit="1" customWidth="1"/>
    <col min="57" max="57" width="7" style="28" bestFit="1" customWidth="1"/>
    <col min="58" max="58" width="6.140625" style="28" bestFit="1" customWidth="1"/>
    <col min="59" max="59" width="7" style="28" bestFit="1" customWidth="1"/>
    <col min="60" max="60" width="6.140625" style="28" bestFit="1" customWidth="1"/>
    <col min="61" max="61" width="7" style="28" bestFit="1" customWidth="1"/>
    <col min="62" max="62" width="6.140625" style="28" bestFit="1" customWidth="1"/>
    <col min="63" max="63" width="7" style="28" bestFit="1" customWidth="1"/>
    <col min="64" max="64" width="6.140625" style="28" bestFit="1" customWidth="1"/>
    <col min="65" max="65" width="7" style="28" bestFit="1" customWidth="1"/>
    <col min="66" max="66" width="6.140625" style="28" bestFit="1" customWidth="1"/>
    <col min="67" max="67" width="7" style="28" bestFit="1" customWidth="1"/>
    <col min="68" max="68" width="6.140625" style="28" bestFit="1" customWidth="1"/>
    <col min="69" max="69" width="7" style="28" bestFit="1" customWidth="1"/>
    <col min="70" max="70" width="6.140625" style="28" bestFit="1" customWidth="1"/>
    <col min="71" max="71" width="7" style="28" bestFit="1" customWidth="1"/>
    <col min="72" max="72" width="6.140625" style="28" bestFit="1" customWidth="1"/>
    <col min="73" max="73" width="7" style="28" bestFit="1" customWidth="1"/>
    <col min="74" max="74" width="6.140625" style="28" bestFit="1" customWidth="1"/>
    <col min="75" max="75" width="7" style="28" bestFit="1" customWidth="1"/>
    <col min="76" max="76" width="6.140625" style="28" bestFit="1" customWidth="1"/>
    <col min="77" max="77" width="7" style="28" bestFit="1" customWidth="1"/>
    <col min="78" max="78" width="6.140625" style="28" bestFit="1" customWidth="1"/>
    <col min="79" max="79" width="7" style="28" bestFit="1" customWidth="1"/>
    <col min="80" max="80" width="6.140625" style="28" bestFit="1" customWidth="1"/>
    <col min="81" max="81" width="7" style="28" bestFit="1" customWidth="1"/>
    <col min="82" max="82" width="6.140625" style="28" bestFit="1" customWidth="1"/>
    <col min="83" max="83" width="7" style="28" bestFit="1" customWidth="1"/>
    <col min="84" max="84" width="6.140625" style="28" bestFit="1" customWidth="1"/>
    <col min="85" max="85" width="7" style="28" bestFit="1" customWidth="1"/>
    <col min="86" max="86" width="6.140625" style="28" bestFit="1" customWidth="1"/>
    <col min="87" max="87" width="7" style="28" bestFit="1" customWidth="1"/>
    <col min="88" max="88" width="6.140625" style="28" bestFit="1" customWidth="1"/>
    <col min="89" max="89" width="7" style="28" bestFit="1" customWidth="1"/>
    <col min="90" max="90" width="6.140625" style="28" bestFit="1" customWidth="1"/>
    <col min="91" max="91" width="7" style="28" bestFit="1" customWidth="1"/>
    <col min="92" max="92" width="6.140625" style="28" bestFit="1" customWidth="1"/>
    <col min="93" max="93" width="7" style="28" bestFit="1" customWidth="1"/>
    <col min="94" max="94" width="6.140625" style="28" bestFit="1" customWidth="1"/>
    <col min="95" max="95" width="7" style="28" bestFit="1" customWidth="1"/>
    <col min="96" max="96" width="6.140625" style="28" bestFit="1" customWidth="1"/>
    <col min="97" max="97" width="7" style="28" bestFit="1" customWidth="1"/>
    <col min="98" max="98" width="6.140625" style="28" bestFit="1" customWidth="1"/>
    <col min="99" max="99" width="7" style="28" bestFit="1" customWidth="1"/>
    <col min="100" max="100" width="6.140625" style="28" bestFit="1" customWidth="1"/>
    <col min="101" max="101" width="7" style="28" bestFit="1" customWidth="1"/>
    <col min="102" max="102" width="6.140625" style="28" bestFit="1" customWidth="1"/>
    <col min="103" max="103" width="7" style="28" bestFit="1" customWidth="1"/>
    <col min="104" max="104" width="6.140625" style="28" bestFit="1" customWidth="1"/>
    <col min="105" max="105" width="7" style="28" bestFit="1" customWidth="1"/>
    <col min="106" max="106" width="6.140625" style="28" bestFit="1" customWidth="1"/>
    <col min="107" max="107" width="7" style="28" bestFit="1" customWidth="1"/>
    <col min="108" max="108" width="6.140625" style="28" bestFit="1" customWidth="1"/>
    <col min="109" max="109" width="7" style="28" bestFit="1" customWidth="1"/>
    <col min="110" max="110" width="6.140625" style="28" bestFit="1" customWidth="1"/>
    <col min="111" max="111" width="7" style="28" bestFit="1" customWidth="1"/>
    <col min="112" max="112" width="6.140625" style="28" bestFit="1" customWidth="1"/>
    <col min="113" max="113" width="7" style="28" bestFit="1" customWidth="1"/>
    <col min="114" max="114" width="6.140625" style="28" bestFit="1" customWidth="1"/>
    <col min="115" max="115" width="7" style="28" bestFit="1" customWidth="1"/>
    <col min="116" max="116" width="6.140625" style="28" bestFit="1" customWidth="1"/>
    <col min="117" max="117" width="7" style="28" bestFit="1" customWidth="1"/>
    <col min="118" max="118" width="6.140625" style="28" bestFit="1" customWidth="1"/>
    <col min="119" max="119" width="7" style="28" bestFit="1" customWidth="1"/>
    <col min="120" max="120" width="6.140625" style="28" bestFit="1" customWidth="1"/>
    <col min="121" max="121" width="7" style="28" bestFit="1" customWidth="1"/>
    <col min="122" max="122" width="6.140625" style="28" bestFit="1" customWidth="1"/>
    <col min="123" max="123" width="7" style="28" bestFit="1" customWidth="1"/>
    <col min="124" max="124" width="6.140625" style="28" bestFit="1" customWidth="1"/>
    <col min="125" max="125" width="7" style="28" bestFit="1" customWidth="1"/>
    <col min="126" max="126" width="6.140625" style="28" bestFit="1" customWidth="1"/>
    <col min="127" max="127" width="7" style="28" bestFit="1" customWidth="1"/>
    <col min="128" max="128" width="6.140625" style="28" bestFit="1" customWidth="1"/>
    <col min="129" max="129" width="7" style="28" bestFit="1" customWidth="1"/>
    <col min="130" max="130" width="6.140625" style="28" bestFit="1" customWidth="1"/>
    <col min="131" max="131" width="7" style="28" bestFit="1" customWidth="1"/>
    <col min="132" max="132" width="6.140625" style="28" bestFit="1" customWidth="1"/>
    <col min="133" max="133" width="7" style="28" bestFit="1" customWidth="1"/>
    <col min="134" max="134" width="6.140625" style="28" bestFit="1" customWidth="1"/>
    <col min="135" max="135" width="7" style="28" bestFit="1" customWidth="1"/>
    <col min="136" max="136" width="6.140625" style="28" bestFit="1" customWidth="1"/>
    <col min="137" max="137" width="7" style="28" bestFit="1" customWidth="1"/>
    <col min="138" max="138" width="6.140625" style="28" bestFit="1" customWidth="1"/>
    <col min="139" max="139" width="7" style="28" bestFit="1" customWidth="1"/>
    <col min="140" max="140" width="6.140625" style="28" bestFit="1" customWidth="1"/>
    <col min="141" max="141" width="7" style="28" bestFit="1" customWidth="1"/>
    <col min="142" max="142" width="6.140625" style="28" bestFit="1" customWidth="1"/>
    <col min="143" max="143" width="7" style="28" bestFit="1" customWidth="1"/>
    <col min="144" max="144" width="6.140625" style="28" bestFit="1" customWidth="1"/>
    <col min="145" max="145" width="7" style="28" bestFit="1" customWidth="1"/>
    <col min="146" max="146" width="6.140625" style="28" bestFit="1" customWidth="1"/>
    <col min="147" max="147" width="7" style="28" bestFit="1" customWidth="1"/>
    <col min="148" max="148" width="6.140625" style="28" bestFit="1" customWidth="1"/>
    <col min="149" max="149" width="7" style="28" bestFit="1" customWidth="1"/>
    <col min="150" max="150" width="6.140625" style="28" bestFit="1" customWidth="1"/>
    <col min="151" max="151" width="7" style="28" bestFit="1" customWidth="1"/>
    <col min="152" max="152" width="6.140625" style="28" bestFit="1" customWidth="1"/>
    <col min="153" max="153" width="7" style="28" bestFit="1" customWidth="1"/>
    <col min="154" max="154" width="6.140625" style="28" bestFit="1" customWidth="1"/>
    <col min="155" max="155" width="7" style="28" bestFit="1" customWidth="1"/>
    <col min="156" max="156" width="6.140625" style="28" bestFit="1" customWidth="1"/>
    <col min="157" max="157" width="7" style="28" bestFit="1" customWidth="1"/>
    <col min="158" max="158" width="6.140625" style="28" bestFit="1" customWidth="1"/>
    <col min="159" max="159" width="7" style="28" bestFit="1" customWidth="1"/>
    <col min="160" max="160" width="6.140625" style="28" bestFit="1" customWidth="1"/>
    <col min="161" max="161" width="7" style="28" bestFit="1" customWidth="1"/>
    <col min="162" max="162" width="6.140625" style="28" bestFit="1" customWidth="1"/>
    <col min="163" max="163" width="7" style="28" bestFit="1" customWidth="1"/>
    <col min="164" max="164" width="6.140625" style="28" bestFit="1" customWidth="1"/>
    <col min="165" max="165" width="7" style="28" bestFit="1" customWidth="1"/>
    <col min="166" max="166" width="6.140625" style="28" bestFit="1" customWidth="1"/>
    <col min="167" max="167" width="7" style="28" bestFit="1" customWidth="1"/>
    <col min="168" max="168" width="6.140625" style="28" bestFit="1" customWidth="1"/>
    <col min="169" max="169" width="7" style="28" bestFit="1" customWidth="1"/>
    <col min="170" max="170" width="6.140625" style="28" bestFit="1" customWidth="1"/>
    <col min="171" max="171" width="7" style="28" bestFit="1" customWidth="1"/>
    <col min="172" max="172" width="6.140625" style="28" bestFit="1" customWidth="1"/>
    <col min="173" max="173" width="7" style="28" bestFit="1" customWidth="1"/>
    <col min="174" max="174" width="6.140625" style="28" bestFit="1" customWidth="1"/>
    <col min="175" max="175" width="7" style="28" bestFit="1" customWidth="1"/>
    <col min="176" max="176" width="6.140625" style="28" bestFit="1" customWidth="1"/>
    <col min="177" max="177" width="7" style="28" bestFit="1" customWidth="1"/>
    <col min="178" max="178" width="6.140625" style="28" bestFit="1" customWidth="1"/>
    <col min="179" max="179" width="7" style="28" bestFit="1" customWidth="1"/>
    <col min="180" max="180" width="6.140625" style="28" bestFit="1" customWidth="1"/>
    <col min="181" max="181" width="7" style="28" bestFit="1" customWidth="1"/>
    <col min="182" max="182" width="6.140625" style="28" bestFit="1" customWidth="1"/>
    <col min="183" max="183" width="7" style="28" bestFit="1" customWidth="1"/>
    <col min="184" max="184" width="6.140625" style="28" bestFit="1" customWidth="1"/>
    <col min="185" max="185" width="7" style="28" bestFit="1" customWidth="1"/>
    <col min="186" max="186" width="6.140625" style="28" bestFit="1" customWidth="1"/>
    <col min="187" max="187" width="7" style="28" bestFit="1" customWidth="1"/>
    <col min="188" max="188" width="6.140625" style="28" bestFit="1" customWidth="1"/>
    <col min="189" max="189" width="7" style="28" bestFit="1" customWidth="1"/>
    <col min="190" max="190" width="6.140625" style="28" bestFit="1" customWidth="1"/>
    <col min="191" max="191" width="7" style="28" bestFit="1" customWidth="1"/>
    <col min="192" max="192" width="6.140625" style="28" bestFit="1" customWidth="1"/>
    <col min="193" max="193" width="7" style="28" bestFit="1" customWidth="1"/>
    <col min="194" max="194" width="6.140625" style="28" bestFit="1" customWidth="1"/>
    <col min="195" max="195" width="7" style="28" bestFit="1" customWidth="1"/>
    <col min="196" max="196" width="6.140625" style="28" bestFit="1" customWidth="1"/>
    <col min="197" max="197" width="7" style="28" bestFit="1" customWidth="1"/>
    <col min="198" max="198" width="6.140625" style="28" bestFit="1" customWidth="1"/>
    <col min="199" max="199" width="7" style="28" bestFit="1" customWidth="1"/>
    <col min="200" max="200" width="6.140625" style="28" bestFit="1" customWidth="1"/>
    <col min="201" max="201" width="8" style="28" bestFit="1" customWidth="1"/>
    <col min="202" max="202" width="6.140625" style="28" bestFit="1" customWidth="1"/>
    <col min="203" max="203" width="10" style="28" bestFit="1" customWidth="1"/>
    <col min="204" max="204" width="6.5703125" style="28" bestFit="1" customWidth="1"/>
    <col min="205" max="205" width="10.42578125" style="28" bestFit="1" customWidth="1"/>
    <col min="206" max="206" width="6.5703125" style="28" bestFit="1" customWidth="1"/>
    <col min="207" max="207" width="10.42578125" style="28" bestFit="1" customWidth="1"/>
    <col min="208" max="208" width="6.5703125" style="28" bestFit="1" customWidth="1"/>
    <col min="209" max="209" width="10.42578125" style="28" bestFit="1" customWidth="1"/>
    <col min="210" max="210" width="6.5703125" style="28" bestFit="1" customWidth="1"/>
    <col min="211" max="211" width="10.42578125" style="28" bestFit="1" customWidth="1"/>
    <col min="212" max="212" width="6.5703125" style="28" bestFit="1" customWidth="1"/>
    <col min="213" max="213" width="10.42578125" style="28" bestFit="1" customWidth="1"/>
    <col min="214" max="214" width="6.5703125" style="28" bestFit="1" customWidth="1"/>
    <col min="215" max="215" width="10.42578125" style="28" bestFit="1" customWidth="1"/>
    <col min="216" max="216" width="6.5703125" style="28" bestFit="1" customWidth="1"/>
    <col min="217" max="217" width="10.42578125" style="28" bestFit="1" customWidth="1"/>
    <col min="218" max="218" width="6.5703125" style="28" bestFit="1" customWidth="1"/>
    <col min="219" max="219" width="10.42578125" style="28" bestFit="1" customWidth="1"/>
    <col min="220" max="220" width="6.5703125" style="28" bestFit="1" customWidth="1"/>
    <col min="221" max="221" width="10" style="28" bestFit="1" customWidth="1"/>
    <col min="222" max="222" width="6.5703125" style="28" bestFit="1" customWidth="1"/>
    <col min="223" max="223" width="9.7109375" style="28" bestFit="1" customWidth="1"/>
    <col min="224" max="224" width="6.5703125" style="28" bestFit="1" customWidth="1"/>
    <col min="225" max="225" width="10" style="28" bestFit="1" customWidth="1"/>
    <col min="226" max="226" width="6.5703125" style="28" bestFit="1" customWidth="1"/>
    <col min="227" max="227" width="10" style="28" bestFit="1" customWidth="1"/>
    <col min="228" max="228" width="6.5703125" style="28" bestFit="1" customWidth="1"/>
    <col min="229" max="229" width="10" style="28" bestFit="1" customWidth="1"/>
    <col min="230" max="230" width="6.5703125" style="28" bestFit="1" customWidth="1"/>
    <col min="231" max="231" width="10" style="28" bestFit="1" customWidth="1"/>
    <col min="232" max="232" width="6.5703125" style="28" bestFit="1" customWidth="1"/>
    <col min="233" max="233" width="10" style="28" bestFit="1" customWidth="1"/>
    <col min="234" max="234" width="6.5703125" style="28" bestFit="1" customWidth="1"/>
    <col min="235" max="235" width="10" style="28" bestFit="1" customWidth="1"/>
    <col min="236" max="236" width="6.5703125" style="28" bestFit="1" customWidth="1"/>
    <col min="237" max="237" width="10" style="28" bestFit="1" customWidth="1"/>
    <col min="238" max="238" width="6.5703125" style="28" bestFit="1" customWidth="1"/>
    <col min="239" max="239" width="10" style="28" bestFit="1" customWidth="1"/>
    <col min="240" max="240" width="6.5703125" style="28" bestFit="1" customWidth="1"/>
    <col min="241" max="241" width="10.42578125" style="28" bestFit="1" customWidth="1"/>
    <col min="242" max="242" width="6.5703125" style="28" bestFit="1" customWidth="1"/>
    <col min="243" max="243" width="10" style="28" bestFit="1" customWidth="1"/>
    <col min="244" max="244" width="6.5703125" style="28" bestFit="1" customWidth="1"/>
    <col min="245" max="245" width="10.42578125" style="28" bestFit="1" customWidth="1"/>
    <col min="246" max="246" width="6.5703125" style="28" bestFit="1" customWidth="1"/>
    <col min="247" max="247" width="10.42578125" style="28" bestFit="1" customWidth="1"/>
    <col min="248" max="248" width="6.5703125" style="28" bestFit="1" customWidth="1"/>
    <col min="249" max="249" width="10.42578125" style="28" bestFit="1" customWidth="1"/>
    <col min="250" max="250" width="6.5703125" style="28" bestFit="1" customWidth="1"/>
    <col min="251" max="251" width="10.42578125" style="28" bestFit="1" customWidth="1"/>
    <col min="252" max="252" width="6.5703125" style="28" bestFit="1" customWidth="1"/>
    <col min="253" max="253" width="10.42578125" style="28" bestFit="1" customWidth="1"/>
    <col min="254" max="254" width="6.5703125" style="28" bestFit="1" customWidth="1"/>
    <col min="255" max="255" width="10.42578125" style="28" bestFit="1" customWidth="1"/>
    <col min="256" max="256" width="6.5703125" style="28" bestFit="1" customWidth="1"/>
    <col min="257" max="257" width="10.42578125" style="28" bestFit="1" customWidth="1"/>
    <col min="258" max="258" width="6.5703125" style="28" bestFit="1" customWidth="1"/>
    <col min="259" max="259" width="10.42578125" style="28" bestFit="1" customWidth="1"/>
    <col min="260" max="260" width="6.5703125" style="28" bestFit="1" customWidth="1"/>
    <col min="261" max="261" width="10.42578125" style="28" bestFit="1" customWidth="1"/>
    <col min="262" max="262" width="6.5703125" style="28" bestFit="1" customWidth="1"/>
    <col min="263" max="263" width="10" style="28" bestFit="1" customWidth="1"/>
    <col min="264" max="264" width="6.5703125" style="28" bestFit="1" customWidth="1"/>
    <col min="265" max="265" width="10.42578125" style="28" bestFit="1" customWidth="1"/>
    <col min="266" max="266" width="6.5703125" style="28" bestFit="1" customWidth="1"/>
    <col min="267" max="267" width="10.42578125" style="28" bestFit="1" customWidth="1"/>
    <col min="268" max="268" width="6.5703125" style="28" bestFit="1" customWidth="1"/>
    <col min="269" max="269" width="10.42578125" style="28" bestFit="1" customWidth="1"/>
    <col min="270" max="270" width="6.5703125" style="28" bestFit="1" customWidth="1"/>
    <col min="271" max="271" width="10.42578125" style="28" bestFit="1" customWidth="1"/>
    <col min="272" max="272" width="6.5703125" style="28" bestFit="1" customWidth="1"/>
    <col min="273" max="273" width="10.42578125" style="28" bestFit="1" customWidth="1"/>
    <col min="274" max="274" width="6.5703125" style="28" bestFit="1" customWidth="1"/>
    <col min="275" max="275" width="10.42578125" style="28" bestFit="1" customWidth="1"/>
    <col min="276" max="276" width="6.5703125" style="28" bestFit="1" customWidth="1"/>
    <col min="277" max="277" width="10.42578125" style="28" bestFit="1" customWidth="1"/>
    <col min="278" max="278" width="6.5703125" style="28" bestFit="1" customWidth="1"/>
    <col min="279" max="279" width="10.42578125" style="28" bestFit="1" customWidth="1"/>
    <col min="280" max="280" width="6.5703125" style="28" bestFit="1" customWidth="1"/>
    <col min="281" max="281" width="10.42578125" style="28" bestFit="1" customWidth="1"/>
    <col min="282" max="282" width="6.5703125" style="28" bestFit="1" customWidth="1"/>
    <col min="283" max="283" width="10" style="28" bestFit="1" customWidth="1"/>
    <col min="284" max="284" width="6.5703125" style="28" bestFit="1" customWidth="1"/>
    <col min="285" max="285" width="10.42578125" style="28" bestFit="1" customWidth="1"/>
    <col min="286" max="286" width="6.5703125" style="28" bestFit="1" customWidth="1"/>
    <col min="287" max="287" width="10.42578125" style="28" bestFit="1" customWidth="1"/>
    <col min="288" max="288" width="6.5703125" style="28" bestFit="1" customWidth="1"/>
    <col min="289" max="289" width="10.42578125" style="28" bestFit="1" customWidth="1"/>
    <col min="290" max="290" width="6.5703125" style="28" bestFit="1" customWidth="1"/>
    <col min="291" max="291" width="10.42578125" style="28" bestFit="1" customWidth="1"/>
    <col min="292" max="292" width="6.5703125" style="28" bestFit="1" customWidth="1"/>
    <col min="293" max="293" width="10.42578125" style="28" bestFit="1" customWidth="1"/>
    <col min="294" max="294" width="6.5703125" style="28" bestFit="1" customWidth="1"/>
    <col min="295" max="295" width="10.42578125" style="28" bestFit="1" customWidth="1"/>
    <col min="296" max="296" width="6.5703125" style="28" bestFit="1" customWidth="1"/>
    <col min="297" max="297" width="10.42578125" style="28" bestFit="1" customWidth="1"/>
    <col min="298" max="298" width="6.5703125" style="28" bestFit="1" customWidth="1"/>
    <col min="299" max="299" width="10.42578125" style="28" bestFit="1" customWidth="1"/>
    <col min="300" max="300" width="6.5703125" style="28" bestFit="1" customWidth="1"/>
    <col min="301" max="301" width="10.42578125" style="28" bestFit="1" customWidth="1"/>
    <col min="302" max="302" width="6.5703125" style="28" bestFit="1" customWidth="1"/>
    <col min="303" max="303" width="10" style="28" bestFit="1" customWidth="1"/>
    <col min="304" max="304" width="6.5703125" style="28" bestFit="1" customWidth="1"/>
    <col min="305" max="305" width="10.42578125" style="28" bestFit="1" customWidth="1"/>
    <col min="306" max="306" width="6.5703125" style="28" bestFit="1" customWidth="1"/>
    <col min="307" max="307" width="10.42578125" style="28" bestFit="1" customWidth="1"/>
    <col min="308" max="308" width="6.5703125" style="28" bestFit="1" customWidth="1"/>
    <col min="309" max="309" width="10.42578125" style="28" bestFit="1" customWidth="1"/>
    <col min="310" max="310" width="6.5703125" style="28" bestFit="1" customWidth="1"/>
    <col min="311" max="311" width="10.42578125" style="28" bestFit="1" customWidth="1"/>
    <col min="312" max="312" width="6.5703125" style="28" bestFit="1" customWidth="1"/>
    <col min="313" max="313" width="10.42578125" style="28" bestFit="1" customWidth="1"/>
    <col min="314" max="314" width="6.5703125" style="28" bestFit="1" customWidth="1"/>
    <col min="315" max="315" width="10.42578125" style="28" bestFit="1" customWidth="1"/>
    <col min="316" max="316" width="6.5703125" style="28" bestFit="1" customWidth="1"/>
    <col min="317" max="317" width="10.42578125" style="28" bestFit="1" customWidth="1"/>
    <col min="318" max="318" width="6.5703125" style="28" bestFit="1" customWidth="1"/>
    <col min="319" max="319" width="10.42578125" style="28" bestFit="1" customWidth="1"/>
    <col min="320" max="320" width="6.5703125" style="28" bestFit="1" customWidth="1"/>
    <col min="321" max="321" width="10.42578125" style="28" bestFit="1" customWidth="1"/>
    <col min="322" max="322" width="6.5703125" style="28" bestFit="1" customWidth="1"/>
    <col min="323" max="323" width="10" style="28" bestFit="1" customWidth="1"/>
    <col min="324" max="324" width="6.5703125" style="28" bestFit="1" customWidth="1"/>
    <col min="325" max="325" width="10.42578125" style="28" bestFit="1" customWidth="1"/>
    <col min="326" max="326" width="6.5703125" style="28" bestFit="1" customWidth="1"/>
    <col min="327" max="327" width="10.42578125" style="28" bestFit="1" customWidth="1"/>
    <col min="328" max="328" width="7" style="28" bestFit="1" customWidth="1"/>
    <col min="329" max="329" width="10.42578125" style="28" bestFit="1" customWidth="1"/>
    <col min="330" max="330" width="6.5703125" style="28" bestFit="1" customWidth="1"/>
    <col min="331" max="331" width="10.42578125" style="28" bestFit="1" customWidth="1"/>
    <col min="332" max="332" width="7" style="28" bestFit="1" customWidth="1"/>
    <col min="333" max="333" width="10.42578125" style="28" bestFit="1" customWidth="1"/>
    <col min="334" max="334" width="7" style="28" bestFit="1" customWidth="1"/>
    <col min="335" max="335" width="10.42578125" style="28" bestFit="1" customWidth="1"/>
    <col min="336" max="336" width="7" style="28" bestFit="1" customWidth="1"/>
    <col min="337" max="337" width="10.42578125" style="28" bestFit="1" customWidth="1"/>
    <col min="338" max="338" width="7" style="28" bestFit="1" customWidth="1"/>
    <col min="339" max="339" width="10.42578125" style="28" bestFit="1" customWidth="1"/>
    <col min="340" max="340" width="7" style="28" bestFit="1" customWidth="1"/>
    <col min="341" max="341" width="10.42578125" style="28" bestFit="1" customWidth="1"/>
    <col min="342" max="342" width="7" style="28" bestFit="1" customWidth="1"/>
    <col min="343" max="343" width="10" style="28" bestFit="1" customWidth="1"/>
    <col min="344" max="344" width="7" style="28" bestFit="1" customWidth="1"/>
    <col min="345" max="345" width="10.42578125" style="28" bestFit="1" customWidth="1"/>
    <col min="346" max="346" width="6.5703125" style="28" bestFit="1" customWidth="1"/>
    <col min="347" max="347" width="10.42578125" style="28" bestFit="1" customWidth="1"/>
    <col min="348" max="348" width="6.5703125" style="28" bestFit="1" customWidth="1"/>
    <col min="349" max="349" width="10.42578125" style="28" bestFit="1" customWidth="1"/>
    <col min="350" max="350" width="6.5703125" style="28" bestFit="1" customWidth="1"/>
    <col min="351" max="351" width="10.42578125" style="28" bestFit="1" customWidth="1"/>
    <col min="352" max="352" width="7" style="28" bestFit="1" customWidth="1"/>
    <col min="353" max="353" width="10.42578125" style="28" bestFit="1" customWidth="1"/>
    <col min="354" max="354" width="7" style="28" bestFit="1" customWidth="1"/>
    <col min="355" max="355" width="10.42578125" style="28" bestFit="1" customWidth="1"/>
    <col min="356" max="356" width="7" style="28" bestFit="1" customWidth="1"/>
    <col min="357" max="357" width="10.42578125" style="28" bestFit="1" customWidth="1"/>
    <col min="358" max="358" width="7" style="28" bestFit="1" customWidth="1"/>
    <col min="359" max="359" width="10.42578125" style="28" bestFit="1" customWidth="1"/>
    <col min="360" max="360" width="7" style="28" bestFit="1" customWidth="1"/>
    <col min="361" max="361" width="10.42578125" style="28" bestFit="1" customWidth="1"/>
    <col min="362" max="362" width="7" style="28" bestFit="1" customWidth="1"/>
    <col min="363" max="363" width="10" style="28" bestFit="1" customWidth="1"/>
    <col min="364" max="364" width="7" style="28" bestFit="1" customWidth="1"/>
    <col min="365" max="365" width="10.42578125" style="28" bestFit="1" customWidth="1"/>
    <col min="366" max="366" width="7" style="28" bestFit="1" customWidth="1"/>
    <col min="367" max="367" width="10.42578125" style="28" bestFit="1" customWidth="1"/>
    <col min="368" max="368" width="7" style="28" bestFit="1" customWidth="1"/>
    <col min="369" max="369" width="10.42578125" style="28" bestFit="1" customWidth="1"/>
    <col min="370" max="370" width="7" style="28" bestFit="1" customWidth="1"/>
    <col min="371" max="371" width="10.42578125" style="28" bestFit="1" customWidth="1"/>
    <col min="372" max="372" width="7" style="28" bestFit="1" customWidth="1"/>
    <col min="373" max="373" width="10.42578125" style="28" bestFit="1" customWidth="1"/>
    <col min="374" max="374" width="7" style="28" bestFit="1" customWidth="1"/>
    <col min="375" max="375" width="10.42578125" style="28" bestFit="1" customWidth="1"/>
    <col min="376" max="376" width="7" style="28" bestFit="1" customWidth="1"/>
    <col min="377" max="377" width="10.42578125" style="28" bestFit="1" customWidth="1"/>
    <col min="378" max="378" width="7" style="28" bestFit="1" customWidth="1"/>
    <col min="379" max="379" width="10.42578125" style="28" bestFit="1" customWidth="1"/>
    <col min="380" max="380" width="7" style="28" bestFit="1" customWidth="1"/>
    <col min="381" max="381" width="10.42578125" style="28" bestFit="1" customWidth="1"/>
    <col min="382" max="382" width="7" style="28" bestFit="1" customWidth="1"/>
    <col min="383" max="383" width="10" style="28" bestFit="1" customWidth="1"/>
    <col min="384" max="384" width="7" style="28" bestFit="1" customWidth="1"/>
    <col min="385" max="385" width="10.42578125" style="28" bestFit="1" customWidth="1"/>
    <col min="386" max="386" width="7" style="28" bestFit="1" customWidth="1"/>
    <col min="387" max="387" width="10.42578125" style="28" bestFit="1" customWidth="1"/>
    <col min="388" max="388" width="7" style="28" bestFit="1" customWidth="1"/>
    <col min="389" max="389" width="10.42578125" style="28" bestFit="1" customWidth="1"/>
    <col min="390" max="390" width="7" style="28" bestFit="1" customWidth="1"/>
    <col min="391" max="391" width="10.42578125" style="28" bestFit="1" customWidth="1"/>
    <col min="392" max="392" width="7" style="28" bestFit="1" customWidth="1"/>
    <col min="393" max="393" width="10.42578125" style="28" bestFit="1" customWidth="1"/>
    <col min="394" max="394" width="7" style="28" bestFit="1" customWidth="1"/>
    <col min="395" max="395" width="10.42578125" style="28" bestFit="1" customWidth="1"/>
    <col min="396" max="396" width="7" style="28" bestFit="1" customWidth="1"/>
    <col min="397" max="397" width="10.42578125" style="28" bestFit="1" customWidth="1"/>
    <col min="398" max="398" width="7" style="28" bestFit="1" customWidth="1"/>
    <col min="399" max="399" width="10.42578125" style="28" bestFit="1" customWidth="1"/>
    <col min="400" max="400" width="7" style="28" bestFit="1" customWidth="1"/>
    <col min="401" max="401" width="10.85546875" style="28" bestFit="1" customWidth="1"/>
    <col min="402" max="402" width="7" style="28" bestFit="1" customWidth="1"/>
    <col min="403" max="403" width="10.42578125" style="28" bestFit="1" customWidth="1"/>
    <col min="404" max="404" width="7" style="28" bestFit="1" customWidth="1"/>
    <col min="405" max="405" width="10.85546875" style="28" bestFit="1" customWidth="1"/>
    <col min="406" max="406" width="7" style="28" bestFit="1" customWidth="1"/>
    <col min="407" max="407" width="10.85546875" style="28" bestFit="1" customWidth="1"/>
    <col min="408" max="408" width="7" style="28" bestFit="1" customWidth="1"/>
    <col min="409" max="409" width="10.85546875" style="28" bestFit="1" customWidth="1"/>
    <col min="410" max="410" width="7" style="28" bestFit="1" customWidth="1"/>
    <col min="411" max="411" width="10.85546875" style="28" bestFit="1" customWidth="1"/>
    <col min="412" max="412" width="7" style="28" bestFit="1" customWidth="1"/>
    <col min="413" max="413" width="10.85546875" style="28" bestFit="1" customWidth="1"/>
    <col min="414" max="414" width="7" style="28" bestFit="1" customWidth="1"/>
    <col min="415" max="415" width="10.85546875" style="28" bestFit="1" customWidth="1"/>
    <col min="416" max="416" width="7" style="28" bestFit="1" customWidth="1"/>
    <col min="417" max="417" width="10.85546875" style="28" bestFit="1" customWidth="1"/>
    <col min="418" max="418" width="7" style="28" bestFit="1" customWidth="1"/>
    <col min="419" max="419" width="10.85546875" style="28" bestFit="1" customWidth="1"/>
    <col min="420" max="420" width="7" style="28" bestFit="1" customWidth="1"/>
    <col min="421" max="421" width="10.42578125" style="28" bestFit="1" customWidth="1"/>
    <col min="422" max="422" width="7" style="28" bestFit="1" customWidth="1"/>
    <col min="423" max="423" width="10" style="28" bestFit="1" customWidth="1"/>
    <col min="424" max="424" width="7" style="28" bestFit="1" customWidth="1"/>
    <col min="425" max="425" width="10.42578125" style="28" bestFit="1" customWidth="1"/>
    <col min="426" max="426" width="7" style="28" bestFit="1" customWidth="1"/>
    <col min="427" max="427" width="10.42578125" style="28" bestFit="1" customWidth="1"/>
    <col min="428" max="428" width="7" style="28" bestFit="1" customWidth="1"/>
    <col min="429" max="429" width="10.42578125" style="28" bestFit="1" customWidth="1"/>
    <col min="430" max="430" width="7" style="28" bestFit="1" customWidth="1"/>
    <col min="431" max="431" width="10.42578125" style="28" bestFit="1" customWidth="1"/>
    <col min="432" max="432" width="7" style="28" bestFit="1" customWidth="1"/>
    <col min="433" max="433" width="10.42578125" style="28" bestFit="1" customWidth="1"/>
    <col min="434" max="434" width="7" style="28" bestFit="1" customWidth="1"/>
    <col min="435" max="435" width="10.42578125" style="28" bestFit="1" customWidth="1"/>
    <col min="436" max="436" width="7" style="28" bestFit="1" customWidth="1"/>
    <col min="437" max="437" width="10.42578125" style="28" bestFit="1" customWidth="1"/>
    <col min="438" max="438" width="7" style="28" bestFit="1" customWidth="1"/>
    <col min="439" max="439" width="10.42578125" style="28" bestFit="1" customWidth="1"/>
    <col min="440" max="440" width="7" style="28" bestFit="1" customWidth="1"/>
    <col min="441" max="441" width="10.85546875" style="28" bestFit="1" customWidth="1"/>
    <col min="442" max="442" width="7" style="28" bestFit="1" customWidth="1"/>
    <col min="443" max="443" width="10.42578125" style="28" bestFit="1" customWidth="1"/>
    <col min="444" max="444" width="7" style="28" bestFit="1" customWidth="1"/>
    <col min="445" max="445" width="10.85546875" style="28" bestFit="1" customWidth="1"/>
    <col min="446" max="446" width="7" style="28" bestFit="1" customWidth="1"/>
    <col min="447" max="447" width="10.85546875" style="28" bestFit="1" customWidth="1"/>
    <col min="448" max="448" width="7" style="28" bestFit="1" customWidth="1"/>
    <col min="449" max="449" width="10.85546875" style="28" bestFit="1" customWidth="1"/>
    <col min="450" max="450" width="7" style="28" bestFit="1" customWidth="1"/>
    <col min="451" max="451" width="10.85546875" style="28" bestFit="1" customWidth="1"/>
    <col min="452" max="452" width="7" style="28" bestFit="1" customWidth="1"/>
    <col min="453" max="453" width="10.85546875" style="28" bestFit="1" customWidth="1"/>
    <col min="454" max="454" width="7" style="28" bestFit="1" customWidth="1"/>
    <col min="455" max="455" width="10.85546875" style="28" bestFit="1" customWidth="1"/>
    <col min="456" max="456" width="7" style="28" bestFit="1" customWidth="1"/>
    <col min="457" max="457" width="10.85546875" style="28" bestFit="1" customWidth="1"/>
    <col min="458" max="458" width="7" style="28" bestFit="1" customWidth="1"/>
    <col min="459" max="459" width="10.85546875" style="28" bestFit="1" customWidth="1"/>
    <col min="460" max="460" width="7" style="28" bestFit="1" customWidth="1"/>
    <col min="461" max="461" width="10.85546875" style="28" bestFit="1" customWidth="1"/>
    <col min="462" max="462" width="7" style="28" bestFit="1" customWidth="1"/>
    <col min="463" max="463" width="10.42578125" style="28" bestFit="1" customWidth="1"/>
    <col min="464" max="464" width="7" style="28" bestFit="1" customWidth="1"/>
    <col min="465" max="465" width="10.85546875" style="28" bestFit="1" customWidth="1"/>
    <col min="466" max="466" width="7" style="28" bestFit="1" customWidth="1"/>
    <col min="467" max="467" width="10.85546875" style="28" bestFit="1" customWidth="1"/>
    <col min="468" max="468" width="7" style="28" bestFit="1" customWidth="1"/>
    <col min="469" max="469" width="10.85546875" style="28" bestFit="1" customWidth="1"/>
    <col min="470" max="470" width="7" style="28" bestFit="1" customWidth="1"/>
    <col min="471" max="471" width="10.85546875" style="28" bestFit="1" customWidth="1"/>
    <col min="472" max="472" width="7" style="28" bestFit="1" customWidth="1"/>
    <col min="473" max="473" width="10.85546875" style="28" bestFit="1" customWidth="1"/>
    <col min="474" max="474" width="7" style="28" bestFit="1" customWidth="1"/>
    <col min="475" max="475" width="10.85546875" style="28" bestFit="1" customWidth="1"/>
    <col min="476" max="476" width="7" style="28" bestFit="1" customWidth="1"/>
    <col min="477" max="477" width="10.85546875" style="28" bestFit="1" customWidth="1"/>
    <col min="478" max="478" width="7" style="28" bestFit="1" customWidth="1"/>
    <col min="479" max="479" width="10.85546875" style="28" bestFit="1" customWidth="1"/>
    <col min="480" max="480" width="7" style="28" bestFit="1" customWidth="1"/>
    <col min="481" max="481" width="10.85546875" style="28" bestFit="1" customWidth="1"/>
    <col min="482" max="482" width="7" style="28" bestFit="1" customWidth="1"/>
    <col min="483" max="483" width="10.42578125" style="28" bestFit="1" customWidth="1"/>
    <col min="484" max="484" width="7" style="28" bestFit="1" customWidth="1"/>
    <col min="485" max="485" width="10.85546875" style="28" bestFit="1" customWidth="1"/>
    <col min="486" max="486" width="7" style="28" bestFit="1" customWidth="1"/>
    <col min="487" max="487" width="10.85546875" style="28" bestFit="1" customWidth="1"/>
    <col min="488" max="488" width="7" style="28" bestFit="1" customWidth="1"/>
    <col min="489" max="489" width="10.85546875" style="28" bestFit="1" customWidth="1"/>
    <col min="490" max="490" width="7" style="28" bestFit="1" customWidth="1"/>
    <col min="491" max="491" width="10.85546875" style="28" bestFit="1" customWidth="1"/>
    <col min="492" max="492" width="7" style="28" bestFit="1" customWidth="1"/>
    <col min="493" max="493" width="10.85546875" style="28" bestFit="1" customWidth="1"/>
    <col min="494" max="494" width="7" style="28" bestFit="1" customWidth="1"/>
    <col min="495" max="495" width="10.85546875" style="28" bestFit="1" customWidth="1"/>
    <col min="496" max="496" width="7" style="28" bestFit="1" customWidth="1"/>
    <col min="497" max="497" width="10.85546875" style="28" bestFit="1" customWidth="1"/>
    <col min="498" max="498" width="7" style="28" bestFit="1" customWidth="1"/>
    <col min="499" max="499" width="10.85546875" style="28" bestFit="1" customWidth="1"/>
    <col min="500" max="500" width="7" style="28" bestFit="1" customWidth="1"/>
    <col min="501" max="501" width="10.85546875" style="28" bestFit="1" customWidth="1"/>
    <col min="502" max="502" width="7" style="28" bestFit="1" customWidth="1"/>
    <col min="503" max="503" width="10.42578125" style="28" bestFit="1" customWidth="1"/>
    <col min="504" max="504" width="7" style="28" bestFit="1" customWidth="1"/>
    <col min="505" max="505" width="10.85546875" style="28" bestFit="1" customWidth="1"/>
    <col min="506" max="506" width="7" style="28" bestFit="1" customWidth="1"/>
    <col min="507" max="507" width="10.85546875" style="28" bestFit="1" customWidth="1"/>
    <col min="508" max="508" width="7" style="28" bestFit="1" customWidth="1"/>
    <col min="509" max="509" width="10.85546875" style="28" bestFit="1" customWidth="1"/>
    <col min="510" max="510" width="7" style="28" bestFit="1" customWidth="1"/>
    <col min="511" max="511" width="10.85546875" style="28" bestFit="1" customWidth="1"/>
    <col min="512" max="512" width="7" style="28" bestFit="1" customWidth="1"/>
    <col min="513" max="513" width="10.85546875" style="28" bestFit="1" customWidth="1"/>
    <col min="514" max="514" width="7" style="28" bestFit="1" customWidth="1"/>
    <col min="515" max="515" width="10.85546875" style="28" bestFit="1" customWidth="1"/>
    <col min="516" max="516" width="7" style="28" bestFit="1" customWidth="1"/>
    <col min="517" max="517" width="10.85546875" style="28" bestFit="1" customWidth="1"/>
    <col min="518" max="518" width="7" style="28" bestFit="1" customWidth="1"/>
    <col min="519" max="519" width="10.85546875" style="28" bestFit="1" customWidth="1"/>
    <col min="520" max="520" width="7" style="28" bestFit="1" customWidth="1"/>
    <col min="521" max="521" width="10.85546875" style="28" bestFit="1" customWidth="1"/>
    <col min="522" max="522" width="7" style="28" bestFit="1" customWidth="1"/>
    <col min="523" max="523" width="10.42578125" style="28" bestFit="1" customWidth="1"/>
    <col min="524" max="524" width="7" style="28" bestFit="1" customWidth="1"/>
    <col min="525" max="525" width="10.85546875" style="28" bestFit="1" customWidth="1"/>
    <col min="526" max="526" width="7" style="28" bestFit="1" customWidth="1"/>
    <col min="527" max="527" width="10.85546875" style="28" bestFit="1" customWidth="1"/>
    <col min="528" max="528" width="7" style="28" bestFit="1" customWidth="1"/>
    <col min="529" max="529" width="10.85546875" style="28" bestFit="1" customWidth="1"/>
    <col min="530" max="530" width="7" style="28" bestFit="1" customWidth="1"/>
    <col min="531" max="531" width="10.85546875" style="28" bestFit="1" customWidth="1"/>
    <col min="532" max="532" width="7" style="28" bestFit="1" customWidth="1"/>
    <col min="533" max="533" width="10.85546875" style="28" bestFit="1" customWidth="1"/>
    <col min="534" max="534" width="7" style="28" bestFit="1" customWidth="1"/>
    <col min="535" max="535" width="10.85546875" style="28" bestFit="1" customWidth="1"/>
    <col min="536" max="536" width="7" style="28" bestFit="1" customWidth="1"/>
    <col min="537" max="537" width="10.85546875" style="28" bestFit="1" customWidth="1"/>
    <col min="538" max="538" width="7" style="28" bestFit="1" customWidth="1"/>
    <col min="539" max="539" width="10.85546875" style="28" bestFit="1" customWidth="1"/>
    <col min="540" max="540" width="7" style="28" bestFit="1" customWidth="1"/>
    <col min="541" max="541" width="10.85546875" style="28" bestFit="1" customWidth="1"/>
    <col min="542" max="542" width="7" style="28" bestFit="1" customWidth="1"/>
    <col min="543" max="543" width="10.42578125" style="28" bestFit="1" customWidth="1"/>
    <col min="544" max="544" width="7" style="28" bestFit="1" customWidth="1"/>
    <col min="545" max="545" width="10.85546875" style="28" bestFit="1" customWidth="1"/>
    <col min="546" max="546" width="7" style="28" bestFit="1" customWidth="1"/>
    <col min="547" max="547" width="10.85546875" style="28" bestFit="1" customWidth="1"/>
    <col min="548" max="548" width="7" style="28" bestFit="1" customWidth="1"/>
    <col min="549" max="549" width="10.85546875" style="28" bestFit="1" customWidth="1"/>
    <col min="550" max="550" width="7" style="28" bestFit="1" customWidth="1"/>
    <col min="551" max="551" width="10.85546875" style="28" bestFit="1" customWidth="1"/>
    <col min="552" max="552" width="7" style="28" bestFit="1" customWidth="1"/>
    <col min="553" max="553" width="10.85546875" style="28" bestFit="1" customWidth="1"/>
    <col min="554" max="554" width="7" style="28" bestFit="1" customWidth="1"/>
    <col min="555" max="555" width="10.85546875" style="28" bestFit="1" customWidth="1"/>
    <col min="556" max="556" width="7" style="28" bestFit="1" customWidth="1"/>
    <col min="557" max="557" width="10.85546875" style="28" bestFit="1" customWidth="1"/>
    <col min="558" max="558" width="7" style="28" bestFit="1" customWidth="1"/>
    <col min="559" max="559" width="10.85546875" style="28" bestFit="1" customWidth="1"/>
    <col min="560" max="560" width="7" style="28" bestFit="1" customWidth="1"/>
    <col min="561" max="561" width="10.85546875" style="28" bestFit="1" customWidth="1"/>
    <col min="562" max="562" width="7" style="28" bestFit="1" customWidth="1"/>
    <col min="563" max="563" width="10.42578125" style="28" bestFit="1" customWidth="1"/>
    <col min="564" max="564" width="7" style="28" bestFit="1" customWidth="1"/>
    <col min="565" max="565" width="10.85546875" style="28" bestFit="1" customWidth="1"/>
    <col min="566" max="566" width="7" style="28" bestFit="1" customWidth="1"/>
    <col min="567" max="567" width="10.85546875" style="28" bestFit="1" customWidth="1"/>
    <col min="568" max="568" width="7" style="28" bestFit="1" customWidth="1"/>
    <col min="569" max="569" width="10.85546875" style="28" bestFit="1" customWidth="1"/>
    <col min="570" max="570" width="7" style="28" bestFit="1" customWidth="1"/>
    <col min="571" max="571" width="10.85546875" style="28" bestFit="1" customWidth="1"/>
    <col min="572" max="572" width="7" style="28" bestFit="1" customWidth="1"/>
    <col min="573" max="573" width="10.85546875" style="28" bestFit="1" customWidth="1"/>
    <col min="574" max="574" width="7" style="28" bestFit="1" customWidth="1"/>
    <col min="575" max="575" width="10.85546875" style="28" bestFit="1" customWidth="1"/>
    <col min="576" max="576" width="7" style="28" bestFit="1" customWidth="1"/>
    <col min="577" max="577" width="10.85546875" style="28" bestFit="1" customWidth="1"/>
    <col min="578" max="578" width="7" style="28" bestFit="1" customWidth="1"/>
    <col min="579" max="579" width="10.85546875" style="28" bestFit="1" customWidth="1"/>
    <col min="580" max="580" width="7" style="28" bestFit="1" customWidth="1"/>
    <col min="581" max="581" width="10.85546875" style="28" bestFit="1" customWidth="1"/>
    <col min="582" max="582" width="7" style="28" bestFit="1" customWidth="1"/>
    <col min="583" max="583" width="10.42578125" style="28" bestFit="1" customWidth="1"/>
    <col min="584" max="584" width="7" style="28" bestFit="1" customWidth="1"/>
    <col min="585" max="585" width="10.85546875" style="28" bestFit="1" customWidth="1"/>
    <col min="586" max="586" width="7" style="28" bestFit="1" customWidth="1"/>
    <col min="587" max="587" width="10.85546875" style="28" bestFit="1" customWidth="1"/>
    <col min="588" max="588" width="7" style="28" bestFit="1" customWidth="1"/>
    <col min="589" max="589" width="10.85546875" style="28" bestFit="1" customWidth="1"/>
    <col min="590" max="590" width="7" style="28" bestFit="1" customWidth="1"/>
    <col min="591" max="591" width="10.85546875" style="28" bestFit="1" customWidth="1"/>
    <col min="592" max="592" width="7" style="28" bestFit="1" customWidth="1"/>
    <col min="593" max="593" width="10.85546875" style="28" bestFit="1" customWidth="1"/>
    <col min="594" max="594" width="7" style="28" bestFit="1" customWidth="1"/>
    <col min="595" max="595" width="10.85546875" style="28" bestFit="1" customWidth="1"/>
    <col min="596" max="596" width="7" style="28" bestFit="1" customWidth="1"/>
    <col min="597" max="597" width="10.85546875" style="28" bestFit="1" customWidth="1"/>
    <col min="598" max="598" width="7" style="28" bestFit="1" customWidth="1"/>
    <col min="599" max="599" width="10.85546875" style="28" bestFit="1" customWidth="1"/>
    <col min="600" max="600" width="7" style="28" bestFit="1" customWidth="1"/>
    <col min="601" max="601" width="10.85546875" style="28" bestFit="1" customWidth="1"/>
    <col min="602" max="602" width="7" style="28" bestFit="1" customWidth="1"/>
    <col min="603" max="603" width="10.42578125" style="28" bestFit="1" customWidth="1"/>
    <col min="604" max="604" width="7" style="28" bestFit="1" customWidth="1"/>
    <col min="605" max="605" width="10.85546875" style="28" bestFit="1" customWidth="1"/>
    <col min="606" max="606" width="7" style="28" bestFit="1" customWidth="1"/>
    <col min="607" max="607" width="10.85546875" style="28" bestFit="1" customWidth="1"/>
    <col min="608" max="608" width="7" style="28" bestFit="1" customWidth="1"/>
    <col min="609" max="609" width="10.85546875" style="28" bestFit="1" customWidth="1"/>
    <col min="610" max="610" width="7" style="28" bestFit="1" customWidth="1"/>
    <col min="611" max="611" width="10.85546875" style="28" bestFit="1" customWidth="1"/>
    <col min="612" max="612" width="7" style="28" bestFit="1" customWidth="1"/>
    <col min="613" max="613" width="10.85546875" style="28" bestFit="1" customWidth="1"/>
    <col min="614" max="614" width="7" style="28" bestFit="1" customWidth="1"/>
    <col min="615" max="615" width="10.85546875" style="28" bestFit="1" customWidth="1"/>
    <col min="616" max="616" width="7" style="28" bestFit="1" customWidth="1"/>
    <col min="617" max="617" width="10.85546875" style="28" bestFit="1" customWidth="1"/>
    <col min="618" max="618" width="7" style="28" bestFit="1" customWidth="1"/>
    <col min="619" max="619" width="10.85546875" style="28" bestFit="1" customWidth="1"/>
    <col min="620" max="620" width="7" style="28" bestFit="1" customWidth="1"/>
    <col min="621" max="621" width="10.42578125" style="28" bestFit="1" customWidth="1"/>
    <col min="622" max="622" width="7" style="28" bestFit="1" customWidth="1"/>
    <col min="623" max="623" width="10" style="28" bestFit="1" customWidth="1"/>
    <col min="624" max="624" width="7" style="28" bestFit="1" customWidth="1"/>
    <col min="625" max="625" width="10.42578125" style="28" bestFit="1" customWidth="1"/>
    <col min="626" max="626" width="7" style="28" bestFit="1" customWidth="1"/>
    <col min="627" max="627" width="10.42578125" style="28" bestFit="1" customWidth="1"/>
    <col min="628" max="628" width="7" style="28" bestFit="1" customWidth="1"/>
    <col min="629" max="629" width="10.42578125" style="28" bestFit="1" customWidth="1"/>
    <col min="630" max="630" width="7" style="28" bestFit="1" customWidth="1"/>
    <col min="631" max="631" width="10.42578125" style="28" bestFit="1" customWidth="1"/>
    <col min="632" max="632" width="7" style="28" bestFit="1" customWidth="1"/>
    <col min="633" max="633" width="10.42578125" style="28" bestFit="1" customWidth="1"/>
    <col min="634" max="634" width="7" style="28" bestFit="1" customWidth="1"/>
    <col min="635" max="635" width="10.42578125" style="28" bestFit="1" customWidth="1"/>
    <col min="636" max="636" width="7" style="28" bestFit="1" customWidth="1"/>
    <col min="637" max="637" width="10.42578125" style="28" bestFit="1" customWidth="1"/>
    <col min="638" max="638" width="7" style="28" bestFit="1" customWidth="1"/>
    <col min="639" max="639" width="10.42578125" style="28" bestFit="1" customWidth="1"/>
    <col min="640" max="640" width="7" style="28" bestFit="1" customWidth="1"/>
    <col min="641" max="641" width="10.85546875" style="28" bestFit="1" customWidth="1"/>
    <col min="642" max="642" width="7" style="28" bestFit="1" customWidth="1"/>
    <col min="643" max="643" width="10.42578125" style="28" bestFit="1" customWidth="1"/>
    <col min="644" max="644" width="7" style="28" bestFit="1" customWidth="1"/>
    <col min="645" max="645" width="10.85546875" style="28" bestFit="1" customWidth="1"/>
    <col min="646" max="646" width="7" style="28" bestFit="1" customWidth="1"/>
    <col min="647" max="647" width="10.85546875" style="28" bestFit="1" customWidth="1"/>
    <col min="648" max="648" width="7" style="28" bestFit="1" customWidth="1"/>
    <col min="649" max="649" width="10.85546875" style="28" bestFit="1" customWidth="1"/>
    <col min="650" max="650" width="7" style="28" bestFit="1" customWidth="1"/>
    <col min="651" max="651" width="10.85546875" style="28" bestFit="1" customWidth="1"/>
    <col min="652" max="652" width="7" style="28" bestFit="1" customWidth="1"/>
    <col min="653" max="653" width="10.85546875" style="28" bestFit="1" customWidth="1"/>
    <col min="654" max="654" width="7" style="28" bestFit="1" customWidth="1"/>
    <col min="655" max="655" width="10.85546875" style="28" bestFit="1" customWidth="1"/>
    <col min="656" max="656" width="7" style="28" bestFit="1" customWidth="1"/>
    <col min="657" max="657" width="10.85546875" style="28" bestFit="1" customWidth="1"/>
    <col min="658" max="658" width="7" style="28" bestFit="1" customWidth="1"/>
    <col min="659" max="659" width="10.85546875" style="28" bestFit="1" customWidth="1"/>
    <col min="660" max="660" width="7" style="28" bestFit="1" customWidth="1"/>
    <col min="661" max="661" width="10.85546875" style="28" bestFit="1" customWidth="1"/>
    <col min="662" max="662" width="7" style="28" bestFit="1" customWidth="1"/>
    <col min="663" max="663" width="10.42578125" style="28" bestFit="1" customWidth="1"/>
    <col min="664" max="664" width="7" style="28" bestFit="1" customWidth="1"/>
    <col min="665" max="665" width="10.85546875" style="28" bestFit="1" customWidth="1"/>
    <col min="666" max="666" width="7" style="28" bestFit="1" customWidth="1"/>
    <col min="667" max="667" width="10.85546875" style="28" bestFit="1" customWidth="1"/>
    <col min="668" max="668" width="7" style="28" bestFit="1" customWidth="1"/>
    <col min="669" max="669" width="10.85546875" style="28" bestFit="1" customWidth="1"/>
    <col min="670" max="670" width="7" style="28" bestFit="1" customWidth="1"/>
    <col min="671" max="671" width="10.85546875" style="28" bestFit="1" customWidth="1"/>
    <col min="672" max="672" width="7" style="28" bestFit="1" customWidth="1"/>
    <col min="673" max="673" width="10.85546875" style="28" bestFit="1" customWidth="1"/>
    <col min="674" max="674" width="7" style="28" bestFit="1" customWidth="1"/>
    <col min="675" max="675" width="10.85546875" style="28" bestFit="1" customWidth="1"/>
    <col min="676" max="676" width="7" style="28" bestFit="1" customWidth="1"/>
    <col min="677" max="677" width="10.85546875" style="28" bestFit="1" customWidth="1"/>
    <col min="678" max="678" width="7" style="28" bestFit="1" customWidth="1"/>
    <col min="679" max="679" width="10.85546875" style="28" bestFit="1" customWidth="1"/>
    <col min="680" max="680" width="7" style="28" bestFit="1" customWidth="1"/>
    <col min="681" max="681" width="10.85546875" style="28" bestFit="1" customWidth="1"/>
    <col min="682" max="682" width="7" style="28" bestFit="1" customWidth="1"/>
    <col min="683" max="683" width="10.42578125" style="28" bestFit="1" customWidth="1"/>
    <col min="684" max="684" width="7" style="28" bestFit="1" customWidth="1"/>
    <col min="685" max="685" width="10.85546875" style="28" bestFit="1" customWidth="1"/>
    <col min="686" max="686" width="7" style="28" bestFit="1" customWidth="1"/>
    <col min="687" max="687" width="10.85546875" style="28" bestFit="1" customWidth="1"/>
    <col min="688" max="688" width="7" style="28" bestFit="1" customWidth="1"/>
    <col min="689" max="689" width="10.85546875" style="28" bestFit="1" customWidth="1"/>
    <col min="690" max="690" width="7" style="28" bestFit="1" customWidth="1"/>
    <col min="691" max="691" width="10.85546875" style="28" bestFit="1" customWidth="1"/>
    <col min="692" max="692" width="7" style="28" bestFit="1" customWidth="1"/>
    <col min="693" max="693" width="10.85546875" style="28" bestFit="1" customWidth="1"/>
    <col min="694" max="694" width="7" style="28" bestFit="1" customWidth="1"/>
    <col min="695" max="695" width="10.85546875" style="28" bestFit="1" customWidth="1"/>
    <col min="696" max="696" width="7" style="28" bestFit="1" customWidth="1"/>
    <col min="697" max="697" width="10.85546875" style="28" bestFit="1" customWidth="1"/>
    <col min="698" max="698" width="7" style="28" bestFit="1" customWidth="1"/>
    <col min="699" max="699" width="10.85546875" style="28" bestFit="1" customWidth="1"/>
    <col min="700" max="700" width="7" style="28" bestFit="1" customWidth="1"/>
    <col min="701" max="701" width="10.85546875" style="28" bestFit="1" customWidth="1"/>
    <col min="702" max="702" width="7" style="28" bestFit="1" customWidth="1"/>
    <col min="703" max="703" width="10.42578125" style="28" bestFit="1" customWidth="1"/>
    <col min="704" max="704" width="7" style="28" bestFit="1" customWidth="1"/>
    <col min="705" max="705" width="10.85546875" style="28" bestFit="1" customWidth="1"/>
    <col min="706" max="706" width="7" style="28" bestFit="1" customWidth="1"/>
    <col min="707" max="707" width="10.85546875" style="28" bestFit="1" customWidth="1"/>
    <col min="708" max="708" width="7" style="28" bestFit="1" customWidth="1"/>
    <col min="709" max="709" width="10.85546875" style="28" bestFit="1" customWidth="1"/>
    <col min="710" max="710" width="7" style="28" bestFit="1" customWidth="1"/>
    <col min="711" max="711" width="10.85546875" style="28" bestFit="1" customWidth="1"/>
    <col min="712" max="712" width="7" style="28" bestFit="1" customWidth="1"/>
    <col min="713" max="713" width="10.85546875" style="28" bestFit="1" customWidth="1"/>
    <col min="714" max="714" width="7" style="28" bestFit="1" customWidth="1"/>
    <col min="715" max="715" width="10.85546875" style="28" bestFit="1" customWidth="1"/>
    <col min="716" max="716" width="7" style="28" bestFit="1" customWidth="1"/>
    <col min="717" max="717" width="10.85546875" style="28" bestFit="1" customWidth="1"/>
    <col min="718" max="718" width="7" style="28" bestFit="1" customWidth="1"/>
    <col min="719" max="719" width="10.85546875" style="28" bestFit="1" customWidth="1"/>
    <col min="720" max="720" width="7" style="28" bestFit="1" customWidth="1"/>
    <col min="721" max="721" width="10.85546875" style="28" bestFit="1" customWidth="1"/>
    <col min="722" max="722" width="7" style="28" bestFit="1" customWidth="1"/>
    <col min="723" max="723" width="10.42578125" style="28" bestFit="1" customWidth="1"/>
    <col min="724" max="724" width="7" style="28" bestFit="1" customWidth="1"/>
    <col min="725" max="725" width="10.85546875" style="28" bestFit="1" customWidth="1"/>
    <col min="726" max="726" width="7" style="28" bestFit="1" customWidth="1"/>
    <col min="727" max="727" width="10.85546875" style="28" bestFit="1" customWidth="1"/>
    <col min="728" max="728" width="7" style="28" bestFit="1" customWidth="1"/>
    <col min="729" max="729" width="10.85546875" style="28" bestFit="1" customWidth="1"/>
    <col min="730" max="730" width="7" style="28" bestFit="1" customWidth="1"/>
    <col min="731" max="731" width="10.85546875" style="28" bestFit="1" customWidth="1"/>
    <col min="732" max="732" width="7" style="28" bestFit="1" customWidth="1"/>
    <col min="733" max="733" width="10.85546875" style="28" bestFit="1" customWidth="1"/>
    <col min="734" max="734" width="7" style="28" bestFit="1" customWidth="1"/>
    <col min="735" max="735" width="10.85546875" style="28" bestFit="1" customWidth="1"/>
    <col min="736" max="736" width="7" style="28" bestFit="1" customWidth="1"/>
    <col min="737" max="737" width="10.85546875" style="28" bestFit="1" customWidth="1"/>
    <col min="738" max="738" width="7" style="28" bestFit="1" customWidth="1"/>
    <col min="739" max="739" width="10.85546875" style="28" bestFit="1" customWidth="1"/>
    <col min="740" max="740" width="7" style="28" bestFit="1" customWidth="1"/>
    <col min="741" max="741" width="10.85546875" style="28" bestFit="1" customWidth="1"/>
    <col min="742" max="742" width="7" style="28" bestFit="1" customWidth="1"/>
    <col min="743" max="743" width="10.42578125" style="28" bestFit="1" customWidth="1"/>
    <col min="744" max="744" width="7" style="28" bestFit="1" customWidth="1"/>
    <col min="745" max="745" width="10.85546875" style="28" bestFit="1" customWidth="1"/>
    <col min="746" max="746" width="7" style="28" bestFit="1" customWidth="1"/>
    <col min="747" max="747" width="10.85546875" style="28" bestFit="1" customWidth="1"/>
    <col min="748" max="748" width="7" style="28" bestFit="1" customWidth="1"/>
    <col min="749" max="749" width="10.85546875" style="28" bestFit="1" customWidth="1"/>
    <col min="750" max="750" width="7" style="28" bestFit="1" customWidth="1"/>
    <col min="751" max="751" width="10.85546875" style="28" bestFit="1" customWidth="1"/>
    <col min="752" max="752" width="7" style="28" bestFit="1" customWidth="1"/>
    <col min="753" max="753" width="10.85546875" style="28" bestFit="1" customWidth="1"/>
    <col min="754" max="754" width="7" style="28" bestFit="1" customWidth="1"/>
    <col min="755" max="755" width="10.85546875" style="28" bestFit="1" customWidth="1"/>
    <col min="756" max="756" width="7" style="28" bestFit="1" customWidth="1"/>
    <col min="757" max="757" width="10.85546875" style="28" bestFit="1" customWidth="1"/>
    <col min="758" max="758" width="7" style="28" bestFit="1" customWidth="1"/>
    <col min="759" max="759" width="10.85546875" style="28" bestFit="1" customWidth="1"/>
    <col min="760" max="760" width="7" style="28" bestFit="1" customWidth="1"/>
    <col min="761" max="761" width="10.85546875" style="28" bestFit="1" customWidth="1"/>
    <col min="762" max="762" width="7" style="28" bestFit="1" customWidth="1"/>
    <col min="763" max="763" width="10.42578125" style="28" bestFit="1" customWidth="1"/>
    <col min="764" max="764" width="7" style="28" bestFit="1" customWidth="1"/>
    <col min="765" max="765" width="10.85546875" style="28" bestFit="1" customWidth="1"/>
    <col min="766" max="766" width="7" style="28" bestFit="1" customWidth="1"/>
    <col min="767" max="767" width="10.85546875" style="28" bestFit="1" customWidth="1"/>
    <col min="768" max="768" width="7" style="28" bestFit="1" customWidth="1"/>
    <col min="769" max="769" width="10.85546875" style="28" bestFit="1" customWidth="1"/>
    <col min="770" max="770" width="7" style="28" bestFit="1" customWidth="1"/>
    <col min="771" max="771" width="10.85546875" style="28" bestFit="1" customWidth="1"/>
    <col min="772" max="772" width="7" style="28" bestFit="1" customWidth="1"/>
    <col min="773" max="773" width="10.85546875" style="28" bestFit="1" customWidth="1"/>
    <col min="774" max="774" width="7" style="28" bestFit="1" customWidth="1"/>
    <col min="775" max="775" width="10.85546875" style="28" bestFit="1" customWidth="1"/>
    <col min="776" max="776" width="7" style="28" bestFit="1" customWidth="1"/>
    <col min="777" max="777" width="10.85546875" style="28" bestFit="1" customWidth="1"/>
    <col min="778" max="778" width="7" style="28" bestFit="1" customWidth="1"/>
    <col min="779" max="779" width="10.85546875" style="28" bestFit="1" customWidth="1"/>
    <col min="780" max="780" width="7" style="28" bestFit="1" customWidth="1"/>
    <col min="781" max="781" width="10.85546875" style="28" bestFit="1" customWidth="1"/>
    <col min="782" max="782" width="7" style="28" bestFit="1" customWidth="1"/>
    <col min="783" max="783" width="10.42578125" style="28" bestFit="1" customWidth="1"/>
    <col min="784" max="784" width="7" style="28" bestFit="1" customWidth="1"/>
    <col min="785" max="785" width="10.85546875" style="28" bestFit="1" customWidth="1"/>
    <col min="786" max="786" width="7" style="28" bestFit="1" customWidth="1"/>
    <col min="787" max="787" width="10.85546875" style="28" bestFit="1" customWidth="1"/>
    <col min="788" max="788" width="7" style="28" bestFit="1" customWidth="1"/>
    <col min="789" max="789" width="10.85546875" style="28" bestFit="1" customWidth="1"/>
    <col min="790" max="790" width="7" style="28" bestFit="1" customWidth="1"/>
    <col min="791" max="791" width="10.85546875" style="28" bestFit="1" customWidth="1"/>
    <col min="792" max="792" width="7" style="28" bestFit="1" customWidth="1"/>
    <col min="793" max="793" width="10.85546875" style="28" bestFit="1" customWidth="1"/>
    <col min="794" max="794" width="7" style="28" bestFit="1" customWidth="1"/>
    <col min="795" max="795" width="10.85546875" style="28" bestFit="1" customWidth="1"/>
    <col min="796" max="796" width="7" style="28" bestFit="1" customWidth="1"/>
    <col min="797" max="797" width="10.85546875" style="28" bestFit="1" customWidth="1"/>
    <col min="798" max="798" width="7" style="28" bestFit="1" customWidth="1"/>
    <col min="799" max="799" width="10.85546875" style="28" bestFit="1" customWidth="1"/>
    <col min="800" max="800" width="7" style="28" bestFit="1" customWidth="1"/>
    <col min="801" max="801" width="10.85546875" style="28" bestFit="1" customWidth="1"/>
    <col min="802" max="802" width="7" style="28" bestFit="1" customWidth="1"/>
    <col min="803" max="16384" width="9" style="28"/>
  </cols>
  <sheetData>
    <row r="3" spans="1:201" x14ac:dyDescent="0.25">
      <c r="A3" s="30" t="s">
        <v>35</v>
      </c>
      <c r="C3" s="30" t="s">
        <v>36</v>
      </c>
      <c r="E3" s="30" t="s">
        <v>37</v>
      </c>
      <c r="G3" s="30" t="s">
        <v>38</v>
      </c>
      <c r="I3" s="30" t="s">
        <v>39</v>
      </c>
      <c r="K3" s="30" t="s">
        <v>40</v>
      </c>
      <c r="M3" s="30" t="s">
        <v>41</v>
      </c>
      <c r="O3" s="30" t="s">
        <v>42</v>
      </c>
      <c r="Q3" s="30" t="s">
        <v>43</v>
      </c>
      <c r="S3" s="30" t="s">
        <v>44</v>
      </c>
      <c r="U3" s="30" t="s">
        <v>45</v>
      </c>
      <c r="W3" s="30" t="s">
        <v>49</v>
      </c>
      <c r="Y3" s="30" t="s">
        <v>50</v>
      </c>
      <c r="AA3" s="30" t="s">
        <v>51</v>
      </c>
      <c r="AC3" s="30" t="s">
        <v>52</v>
      </c>
      <c r="AE3" s="30" t="s">
        <v>53</v>
      </c>
      <c r="AG3" s="30" t="s">
        <v>54</v>
      </c>
      <c r="AI3" s="30" t="s">
        <v>55</v>
      </c>
      <c r="AK3" s="30" t="s">
        <v>56</v>
      </c>
      <c r="AM3" s="30" t="s">
        <v>57</v>
      </c>
      <c r="AO3" s="30" t="s">
        <v>58</v>
      </c>
      <c r="AQ3" s="30" t="s">
        <v>66</v>
      </c>
      <c r="AS3" s="30" t="s">
        <v>67</v>
      </c>
      <c r="AU3" s="30" t="s">
        <v>68</v>
      </c>
      <c r="AW3" s="30" t="s">
        <v>69</v>
      </c>
      <c r="AY3" s="30" t="s">
        <v>70</v>
      </c>
      <c r="BA3" s="30" t="s">
        <v>71</v>
      </c>
      <c r="BC3" s="30" t="s">
        <v>72</v>
      </c>
      <c r="BE3" s="30" t="s">
        <v>73</v>
      </c>
      <c r="BG3" s="30" t="s">
        <v>74</v>
      </c>
      <c r="BI3" s="30" t="s">
        <v>75</v>
      </c>
      <c r="BK3" s="30" t="s">
        <v>76</v>
      </c>
      <c r="BM3" s="30" t="s">
        <v>77</v>
      </c>
      <c r="BO3" s="30" t="s">
        <v>78</v>
      </c>
      <c r="BQ3" s="30" t="s">
        <v>79</v>
      </c>
      <c r="BS3" s="30" t="s">
        <v>80</v>
      </c>
      <c r="BU3" s="30" t="s">
        <v>81</v>
      </c>
      <c r="BW3" s="30" t="s">
        <v>82</v>
      </c>
      <c r="BY3" s="30" t="s">
        <v>83</v>
      </c>
      <c r="CA3" s="30" t="s">
        <v>84</v>
      </c>
      <c r="CC3" s="30" t="s">
        <v>85</v>
      </c>
      <c r="CE3" s="30" t="s">
        <v>86</v>
      </c>
      <c r="CG3" s="30" t="s">
        <v>87</v>
      </c>
      <c r="CI3" s="30" t="s">
        <v>88</v>
      </c>
      <c r="CK3" s="30" t="s">
        <v>89</v>
      </c>
      <c r="CM3" s="30" t="s">
        <v>90</v>
      </c>
      <c r="CO3" s="30" t="s">
        <v>91</v>
      </c>
      <c r="CQ3" s="30" t="s">
        <v>92</v>
      </c>
      <c r="CS3" s="30" t="s">
        <v>93</v>
      </c>
      <c r="CU3" s="30" t="s">
        <v>94</v>
      </c>
      <c r="CW3" s="30" t="s">
        <v>95</v>
      </c>
      <c r="CY3" s="30" t="s">
        <v>98</v>
      </c>
      <c r="DA3" s="30" t="s">
        <v>99</v>
      </c>
      <c r="DC3" s="30" t="s">
        <v>100</v>
      </c>
      <c r="DE3" s="30" t="s">
        <v>101</v>
      </c>
      <c r="DG3" s="30" t="s">
        <v>102</v>
      </c>
      <c r="DI3" s="30" t="s">
        <v>103</v>
      </c>
      <c r="DK3" s="30" t="s">
        <v>104</v>
      </c>
      <c r="DM3" s="30" t="s">
        <v>105</v>
      </c>
      <c r="DO3" s="30" t="s">
        <v>106</v>
      </c>
      <c r="DQ3" s="30" t="s">
        <v>107</v>
      </c>
      <c r="DS3" s="30" t="s">
        <v>108</v>
      </c>
      <c r="DU3" s="30" t="s">
        <v>109</v>
      </c>
      <c r="DW3" s="30" t="s">
        <v>110</v>
      </c>
      <c r="DY3" s="30" t="s">
        <v>111</v>
      </c>
      <c r="EA3" s="30" t="s">
        <v>112</v>
      </c>
      <c r="EC3" s="30" t="s">
        <v>113</v>
      </c>
      <c r="EE3" s="30" t="s">
        <v>114</v>
      </c>
      <c r="EG3" s="30" t="s">
        <v>115</v>
      </c>
      <c r="EI3" s="30" t="s">
        <v>116</v>
      </c>
      <c r="EK3" s="30" t="s">
        <v>117</v>
      </c>
      <c r="EM3" s="30" t="s">
        <v>118</v>
      </c>
      <c r="EO3" s="30" t="s">
        <v>119</v>
      </c>
      <c r="EQ3" s="30" t="s">
        <v>120</v>
      </c>
      <c r="ES3" s="30" t="s">
        <v>121</v>
      </c>
      <c r="EU3" s="30" t="s">
        <v>122</v>
      </c>
      <c r="EW3" s="30" t="s">
        <v>123</v>
      </c>
      <c r="EY3" s="30" t="s">
        <v>124</v>
      </c>
      <c r="FA3" s="30" t="s">
        <v>125</v>
      </c>
      <c r="FC3" s="30" t="s">
        <v>126</v>
      </c>
      <c r="FE3" s="30" t="s">
        <v>127</v>
      </c>
      <c r="FG3" s="30" t="s">
        <v>128</v>
      </c>
      <c r="FI3" s="30" t="s">
        <v>129</v>
      </c>
      <c r="FK3" s="30" t="s">
        <v>130</v>
      </c>
      <c r="FM3" s="30" t="s">
        <v>131</v>
      </c>
      <c r="FO3" s="30" t="s">
        <v>132</v>
      </c>
      <c r="FQ3" s="30" t="s">
        <v>133</v>
      </c>
      <c r="FS3" s="30" t="s">
        <v>134</v>
      </c>
      <c r="FU3" s="30" t="s">
        <v>135</v>
      </c>
      <c r="FW3" s="30" t="s">
        <v>136</v>
      </c>
      <c r="FY3" s="30" t="s">
        <v>137</v>
      </c>
      <c r="GA3" s="30" t="s">
        <v>138</v>
      </c>
      <c r="GC3" s="30" t="s">
        <v>139</v>
      </c>
      <c r="GE3" s="30" t="s">
        <v>140</v>
      </c>
      <c r="GG3" s="30" t="s">
        <v>141</v>
      </c>
      <c r="GI3" s="30" t="s">
        <v>142</v>
      </c>
      <c r="GK3" s="30" t="s">
        <v>143</v>
      </c>
      <c r="GM3" s="30" t="s">
        <v>144</v>
      </c>
      <c r="GO3" s="30" t="s">
        <v>145</v>
      </c>
      <c r="GQ3" s="30" t="s">
        <v>146</v>
      </c>
      <c r="GS3" s="30" t="s">
        <v>147</v>
      </c>
    </row>
    <row r="72" spans="113:202" x14ac:dyDescent="0.25">
      <c r="GS72" s="28">
        <v>449.49242315033536</v>
      </c>
      <c r="GT72" s="29">
        <v>344.49242315033536</v>
      </c>
    </row>
    <row r="73" spans="113:202" x14ac:dyDescent="0.25">
      <c r="GG73" s="28">
        <v>429.3784680107392</v>
      </c>
      <c r="GH73" s="29">
        <v>324.58400903683537</v>
      </c>
      <c r="GI73" s="28">
        <v>429.51871533038889</v>
      </c>
      <c r="GJ73" s="29">
        <v>324.69002748130816</v>
      </c>
      <c r="GK73" s="28">
        <v>429.65900845883459</v>
      </c>
      <c r="GL73" s="29">
        <v>324.79608055444487</v>
      </c>
      <c r="GM73" s="28">
        <v>429.79934741103887</v>
      </c>
      <c r="GN73" s="29">
        <v>324.90216826755625</v>
      </c>
      <c r="GO73" s="28">
        <v>429.93973220196909</v>
      </c>
      <c r="GP73" s="29">
        <v>325.0082906319567</v>
      </c>
      <c r="GQ73" s="28">
        <v>430.08016284659732</v>
      </c>
      <c r="GR73" s="29">
        <v>325.11444765896431</v>
      </c>
      <c r="GS73" s="28">
        <v>430.22063935990093</v>
      </c>
      <c r="GT73" s="29">
        <v>325.22063935990093</v>
      </c>
    </row>
    <row r="74" spans="113:202" x14ac:dyDescent="0.25">
      <c r="FU74" s="28">
        <v>410.16457518703731</v>
      </c>
      <c r="FV74" s="29">
        <v>305.57525488576903</v>
      </c>
      <c r="FW74" s="28">
        <v>410.29854669835157</v>
      </c>
      <c r="FX74" s="29">
        <v>305.6750645260791</v>
      </c>
      <c r="FY74" s="28">
        <v>410.4325619686033</v>
      </c>
      <c r="FZ74" s="29">
        <v>305.77490676707964</v>
      </c>
      <c r="GA74" s="28">
        <v>410.56662101208468</v>
      </c>
      <c r="GB74" s="29">
        <v>305.87478161941897</v>
      </c>
      <c r="GC74" s="28">
        <v>410.7007238430939</v>
      </c>
      <c r="GD74" s="29">
        <v>305.97468909374885</v>
      </c>
      <c r="GE74" s="28">
        <v>410.8348704759328</v>
      </c>
      <c r="GF74" s="29">
        <v>306.07462920072459</v>
      </c>
      <c r="GG74" s="28">
        <v>410.96906092490866</v>
      </c>
      <c r="GH74" s="29">
        <v>306.17460195100506</v>
      </c>
      <c r="GI74" s="28">
        <v>411.10329520433282</v>
      </c>
      <c r="GJ74" s="29">
        <v>306.27460735525221</v>
      </c>
      <c r="GK74" s="28">
        <v>411.23757332852159</v>
      </c>
      <c r="GL74" s="29">
        <v>306.37464542413198</v>
      </c>
      <c r="GM74" s="28">
        <v>411.37189531179615</v>
      </c>
      <c r="GN74" s="29">
        <v>306.47471616831359</v>
      </c>
      <c r="GO74" s="28">
        <v>411.50626116848201</v>
      </c>
      <c r="GP74" s="29">
        <v>306.57481959846967</v>
      </c>
      <c r="GQ74" s="28">
        <v>411.6406709129094</v>
      </c>
      <c r="GR74" s="29">
        <v>306.67495572527639</v>
      </c>
      <c r="GS74" s="28">
        <v>411.77512455941348</v>
      </c>
      <c r="GT74" s="29">
        <v>306.77512455941348</v>
      </c>
    </row>
    <row r="75" spans="113:202" x14ac:dyDescent="0.25">
      <c r="FI75" s="28">
        <v>391.81046855417765</v>
      </c>
      <c r="FJ75" s="29">
        <v>287.42588535970435</v>
      </c>
      <c r="FK75" s="28">
        <v>391.93844508798026</v>
      </c>
      <c r="FL75" s="29">
        <v>287.51976689551219</v>
      </c>
      <c r="FM75" s="28">
        <v>392.06646342258836</v>
      </c>
      <c r="FN75" s="29">
        <v>287.61367909572158</v>
      </c>
      <c r="FO75" s="28">
        <v>392.19452357165517</v>
      </c>
      <c r="FP75" s="29">
        <v>287.70762197034838</v>
      </c>
      <c r="FQ75" s="28">
        <v>392.32262554883857</v>
      </c>
      <c r="FR75" s="29">
        <v>287.80159552941177</v>
      </c>
      <c r="FS75" s="28">
        <v>392.45076936780129</v>
      </c>
      <c r="FT75" s="29">
        <v>287.89559978293414</v>
      </c>
      <c r="FU75" s="28">
        <v>392.5789550422096</v>
      </c>
      <c r="FV75" s="29">
        <v>287.98963474094131</v>
      </c>
      <c r="FW75" s="28">
        <v>392.70718258573453</v>
      </c>
      <c r="FX75" s="29">
        <v>288.08370041346183</v>
      </c>
      <c r="FY75" s="28">
        <v>392.83545201205231</v>
      </c>
      <c r="FZ75" s="29">
        <v>288.17779681052872</v>
      </c>
      <c r="GA75" s="28">
        <v>392.96376333484238</v>
      </c>
      <c r="GB75" s="29">
        <v>288.27192394217656</v>
      </c>
      <c r="GC75" s="28">
        <v>393.0921165677899</v>
      </c>
      <c r="GD75" s="29">
        <v>288.36608181844491</v>
      </c>
      <c r="GE75" s="28">
        <v>393.2205117245835</v>
      </c>
      <c r="GF75" s="29">
        <v>288.46027044937529</v>
      </c>
      <c r="GG75" s="28">
        <v>393.34894881891711</v>
      </c>
      <c r="GH75" s="29">
        <v>288.55448984501345</v>
      </c>
      <c r="GI75" s="28">
        <v>393.47742786448839</v>
      </c>
      <c r="GJ75" s="29">
        <v>288.64874001540778</v>
      </c>
      <c r="GK75" s="28">
        <v>393.60594887499985</v>
      </c>
      <c r="GL75" s="29">
        <v>288.74302097061013</v>
      </c>
      <c r="GM75" s="28">
        <v>393.73451186415872</v>
      </c>
      <c r="GN75" s="29">
        <v>288.83733272067605</v>
      </c>
      <c r="GO75" s="28">
        <v>393.8631168456763</v>
      </c>
      <c r="GP75" s="29">
        <v>288.93167527566391</v>
      </c>
      <c r="GQ75" s="28">
        <v>393.99176383326835</v>
      </c>
      <c r="GR75" s="29">
        <v>289.02604864563529</v>
      </c>
      <c r="GS75" s="28">
        <v>394.1204528406555</v>
      </c>
      <c r="GT75" s="29">
        <v>289.1204528406555</v>
      </c>
    </row>
    <row r="76" spans="113:202" x14ac:dyDescent="0.25">
      <c r="EW76" s="28">
        <v>374.27767426926232</v>
      </c>
      <c r="EX76" s="29">
        <v>270.09742740182173</v>
      </c>
      <c r="EY76" s="28">
        <v>374.39992408971631</v>
      </c>
      <c r="EZ76" s="29">
        <v>270.18564896638435</v>
      </c>
      <c r="FA76" s="28">
        <v>374.52221384046669</v>
      </c>
      <c r="FB76" s="29">
        <v>270.27389934663961</v>
      </c>
      <c r="FC76" s="28">
        <v>374.64454353455619</v>
      </c>
      <c r="FD76" s="29">
        <v>270.36217855199959</v>
      </c>
      <c r="FE76" s="28">
        <v>374.76691318503163</v>
      </c>
      <c r="FF76" s="29">
        <v>270.45048659187933</v>
      </c>
      <c r="FG76" s="28">
        <v>374.8893228049435</v>
      </c>
      <c r="FH76" s="29">
        <v>270.53882347569703</v>
      </c>
      <c r="FI76" s="28">
        <v>375.01177240734745</v>
      </c>
      <c r="FJ76" s="29">
        <v>270.62718921287399</v>
      </c>
      <c r="FK76" s="28">
        <v>375.13426200530267</v>
      </c>
      <c r="FL76" s="29">
        <v>270.71558381283461</v>
      </c>
      <c r="FM76" s="28">
        <v>375.25679161187287</v>
      </c>
      <c r="FN76" s="29">
        <v>270.80400728500615</v>
      </c>
      <c r="FO76" s="28">
        <v>375.37936124012583</v>
      </c>
      <c r="FP76" s="29">
        <v>270.89245963881905</v>
      </c>
      <c r="FQ76" s="28">
        <v>375.50197090313384</v>
      </c>
      <c r="FR76" s="29">
        <v>270.98094088370681</v>
      </c>
      <c r="FS76" s="28">
        <v>375.62462061397383</v>
      </c>
      <c r="FT76" s="29">
        <v>271.06945102910657</v>
      </c>
      <c r="FU76" s="28">
        <v>375.74731038572617</v>
      </c>
      <c r="FV76" s="29">
        <v>271.15799008445782</v>
      </c>
      <c r="FW76" s="28">
        <v>375.87004023147574</v>
      </c>
      <c r="FX76" s="29">
        <v>271.2465580592031</v>
      </c>
      <c r="FY76" s="28">
        <v>375.9928101643124</v>
      </c>
      <c r="FZ76" s="29">
        <v>271.33515496278875</v>
      </c>
      <c r="GA76" s="28">
        <v>376.11562019732912</v>
      </c>
      <c r="GB76" s="29">
        <v>271.42378080466329</v>
      </c>
      <c r="GC76" s="28">
        <v>376.23847034362433</v>
      </c>
      <c r="GD76" s="29">
        <v>271.51243559427928</v>
      </c>
      <c r="GE76" s="28">
        <v>376.36136061629969</v>
      </c>
      <c r="GF76" s="29">
        <v>271.60111934109142</v>
      </c>
      <c r="GG76" s="28">
        <v>376.48429102846205</v>
      </c>
      <c r="GH76" s="29">
        <v>271.68983205455839</v>
      </c>
      <c r="GI76" s="28">
        <v>376.60726159322178</v>
      </c>
      <c r="GJ76" s="29">
        <v>271.77857374414111</v>
      </c>
      <c r="GK76" s="28">
        <v>376.73027232369395</v>
      </c>
      <c r="GL76" s="29">
        <v>271.86734441930423</v>
      </c>
      <c r="GM76" s="28">
        <v>376.85332323299804</v>
      </c>
      <c r="GN76" s="29">
        <v>271.95614408951536</v>
      </c>
      <c r="GO76" s="28">
        <v>376.97641433425753</v>
      </c>
      <c r="GP76" s="29">
        <v>272.04497276424513</v>
      </c>
      <c r="GQ76" s="28">
        <v>377.09954564060007</v>
      </c>
      <c r="GR76" s="29">
        <v>272.13383045296695</v>
      </c>
      <c r="GS76" s="28">
        <v>377.22271716515803</v>
      </c>
      <c r="GT76" s="29">
        <v>272.22271716515803</v>
      </c>
    </row>
    <row r="77" spans="113:202" x14ac:dyDescent="0.25">
      <c r="EM77" s="28">
        <v>357.64621948969432</v>
      </c>
      <c r="EN77" s="29">
        <v>253.6359473096268</v>
      </c>
      <c r="EO77" s="28">
        <v>357.7630370001267</v>
      </c>
      <c r="EP77" s="29">
        <v>253.71879208277485</v>
      </c>
      <c r="EQ77" s="28">
        <v>357.87989266650754</v>
      </c>
      <c r="ER77" s="29">
        <v>253.80166391540132</v>
      </c>
      <c r="ES77" s="28">
        <v>357.99678650129999</v>
      </c>
      <c r="ET77" s="29">
        <v>253.88456281634458</v>
      </c>
      <c r="EU77" s="28">
        <v>358.11371851697049</v>
      </c>
      <c r="EV77" s="29">
        <v>253.96748879444596</v>
      </c>
      <c r="EW77" s="28">
        <v>358.23068872599003</v>
      </c>
      <c r="EX77" s="29">
        <v>254.05044185854936</v>
      </c>
      <c r="EY77" s="28">
        <v>358.34769714083433</v>
      </c>
      <c r="EZ77" s="29">
        <v>254.13342201750257</v>
      </c>
      <c r="FA77" s="28">
        <v>358.4647437739817</v>
      </c>
      <c r="FB77" s="29">
        <v>254.21642928015476</v>
      </c>
      <c r="FC77" s="28">
        <v>358.58182863791563</v>
      </c>
      <c r="FD77" s="29">
        <v>254.29946365535909</v>
      </c>
      <c r="FE77" s="28">
        <v>358.69895174512357</v>
      </c>
      <c r="FF77" s="29">
        <v>254.38252515197144</v>
      </c>
      <c r="FG77" s="28">
        <v>358.81611310809643</v>
      </c>
      <c r="FH77" s="29">
        <v>254.46561377884993</v>
      </c>
      <c r="FI77" s="28">
        <v>358.93331273933023</v>
      </c>
      <c r="FJ77" s="29">
        <v>254.5487295448568</v>
      </c>
      <c r="FK77" s="28">
        <v>359.05055065132416</v>
      </c>
      <c r="FL77" s="29">
        <v>254.63187245885604</v>
      </c>
      <c r="FM77" s="28">
        <v>359.16782685658183</v>
      </c>
      <c r="FN77" s="29">
        <v>254.71504252971511</v>
      </c>
      <c r="FO77" s="28">
        <v>359.28514136761078</v>
      </c>
      <c r="FP77" s="29">
        <v>254.79823976630399</v>
      </c>
      <c r="FQ77" s="28">
        <v>359.40249419692276</v>
      </c>
      <c r="FR77" s="29">
        <v>254.88146417749581</v>
      </c>
      <c r="FS77" s="28">
        <v>359.51988535703413</v>
      </c>
      <c r="FT77" s="29">
        <v>254.96471577216704</v>
      </c>
      <c r="FU77" s="28">
        <v>359.63731486046441</v>
      </c>
      <c r="FV77" s="29">
        <v>255.04799455919616</v>
      </c>
      <c r="FW77" s="28">
        <v>359.75478271973748</v>
      </c>
      <c r="FX77" s="29">
        <v>255.13130054746489</v>
      </c>
      <c r="FY77" s="28">
        <v>359.87228894738189</v>
      </c>
      <c r="FZ77" s="29">
        <v>255.21463374585827</v>
      </c>
      <c r="GA77" s="28">
        <v>359.98983355592941</v>
      </c>
      <c r="GB77" s="29">
        <v>255.29799416326367</v>
      </c>
      <c r="GC77" s="28">
        <v>360.10741655791674</v>
      </c>
      <c r="GD77" s="29">
        <v>255.38138180857177</v>
      </c>
      <c r="GE77" s="28">
        <v>360.22503796588387</v>
      </c>
      <c r="GF77" s="29">
        <v>255.46479669067571</v>
      </c>
      <c r="GG77" s="28">
        <v>360.3426977923757</v>
      </c>
      <c r="GH77" s="29">
        <v>255.54823881847207</v>
      </c>
      <c r="GI77" s="28">
        <v>360.46039604994053</v>
      </c>
      <c r="GJ77" s="29">
        <v>255.63170820085995</v>
      </c>
      <c r="GK77" s="28">
        <v>360.57813275113108</v>
      </c>
      <c r="GL77" s="29">
        <v>255.71520484674144</v>
      </c>
      <c r="GM77" s="28">
        <v>360.69590790850435</v>
      </c>
      <c r="GN77" s="29">
        <v>255.79872876502176</v>
      </c>
      <c r="GO77" s="28">
        <v>360.81372153462115</v>
      </c>
      <c r="GP77" s="29">
        <v>255.88227996460878</v>
      </c>
      <c r="GQ77" s="28">
        <v>360.93157364204632</v>
      </c>
      <c r="GR77" s="29">
        <v>255.96585845441331</v>
      </c>
      <c r="GS77" s="28">
        <v>361.04946424334912</v>
      </c>
      <c r="GT77" s="29">
        <v>256.04946424334912</v>
      </c>
    </row>
    <row r="78" spans="113:202" x14ac:dyDescent="0.25">
      <c r="EC78" s="28">
        <v>341.75380234742249</v>
      </c>
      <c r="ED78" s="29">
        <v>237.91322753349687</v>
      </c>
      <c r="EE78" s="28">
        <v>341.86542893871717</v>
      </c>
      <c r="EF78" s="29">
        <v>237.99093681553282</v>
      </c>
      <c r="EG78" s="28">
        <v>341.97709199045727</v>
      </c>
      <c r="EH78" s="29">
        <v>238.06867147964851</v>
      </c>
      <c r="EI78" s="28">
        <v>342.08879151455181</v>
      </c>
      <c r="EJ78" s="29">
        <v>238.14643153413448</v>
      </c>
      <c r="EK78" s="28">
        <v>342.20052752291394</v>
      </c>
      <c r="EL78" s="29">
        <v>238.22421698728391</v>
      </c>
      <c r="EM78" s="28">
        <v>342.31230002746031</v>
      </c>
      <c r="EN78" s="29">
        <v>238.30202784739282</v>
      </c>
      <c r="EO78" s="28">
        <v>342.42410904011155</v>
      </c>
      <c r="EP78" s="29">
        <v>238.37986412275976</v>
      </c>
      <c r="EQ78" s="28">
        <v>342.53595457279226</v>
      </c>
      <c r="ER78" s="29">
        <v>238.45772582168601</v>
      </c>
      <c r="ES78" s="28">
        <v>342.64783663743128</v>
      </c>
      <c r="ET78" s="29">
        <v>238.53561295247599</v>
      </c>
      <c r="EU78" s="28">
        <v>342.75975524596049</v>
      </c>
      <c r="EV78" s="29">
        <v>238.61352552343598</v>
      </c>
      <c r="EW78" s="28">
        <v>342.87171041031621</v>
      </c>
      <c r="EX78" s="29">
        <v>238.6914635428756</v>
      </c>
      <c r="EY78" s="28">
        <v>342.98370214243926</v>
      </c>
      <c r="EZ78" s="29">
        <v>238.76942701910755</v>
      </c>
      <c r="FA78" s="28">
        <v>343.095730454273</v>
      </c>
      <c r="FB78" s="29">
        <v>238.84741596044611</v>
      </c>
      <c r="FC78" s="28">
        <v>343.20779535776563</v>
      </c>
      <c r="FD78" s="29">
        <v>238.92543037520906</v>
      </c>
      <c r="FE78" s="28">
        <v>343.31989686486929</v>
      </c>
      <c r="FF78" s="29">
        <v>239.00347027171713</v>
      </c>
      <c r="FG78" s="28">
        <v>343.43203498753928</v>
      </c>
      <c r="FH78" s="29">
        <v>239.08153565829289</v>
      </c>
      <c r="FI78" s="28">
        <v>343.54420973773586</v>
      </c>
      <c r="FJ78" s="29">
        <v>239.15962654326253</v>
      </c>
      <c r="FK78" s="28">
        <v>343.65642112742233</v>
      </c>
      <c r="FL78" s="29">
        <v>239.23774293495438</v>
      </c>
      <c r="FM78" s="28">
        <v>343.76866916856625</v>
      </c>
      <c r="FN78" s="29">
        <v>239.31588484169959</v>
      </c>
      <c r="FO78" s="28">
        <v>343.88095387313888</v>
      </c>
      <c r="FP78" s="29">
        <v>239.39405227183212</v>
      </c>
      <c r="FQ78" s="28">
        <v>343.99327525311554</v>
      </c>
      <c r="FR78" s="29">
        <v>239.47224523368862</v>
      </c>
      <c r="FS78" s="28">
        <v>344.10563332047593</v>
      </c>
      <c r="FT78" s="29">
        <v>239.55046373560884</v>
      </c>
      <c r="FU78" s="28">
        <v>344.21802808720287</v>
      </c>
      <c r="FV78" s="29">
        <v>239.62870778593467</v>
      </c>
      <c r="FW78" s="28">
        <v>344.33045956528315</v>
      </c>
      <c r="FX78" s="29">
        <v>239.70697739301065</v>
      </c>
      <c r="FY78" s="28">
        <v>344.44292776670829</v>
      </c>
      <c r="FZ78" s="29">
        <v>239.78527256518484</v>
      </c>
      <c r="GA78" s="28">
        <v>344.55543270347277</v>
      </c>
      <c r="GB78" s="29">
        <v>239.86359331080706</v>
      </c>
      <c r="GC78" s="28">
        <v>344.66797438757567</v>
      </c>
      <c r="GD78" s="29">
        <v>239.94193963823071</v>
      </c>
      <c r="GE78" s="28">
        <v>344.78055283101946</v>
      </c>
      <c r="GF78" s="29">
        <v>240.02031155581128</v>
      </c>
      <c r="GG78" s="28">
        <v>344.89316804581108</v>
      </c>
      <c r="GH78" s="29">
        <v>240.09870907190748</v>
      </c>
      <c r="GI78" s="28">
        <v>345.00582004396091</v>
      </c>
      <c r="GJ78" s="29">
        <v>240.17713219488039</v>
      </c>
      <c r="GK78" s="28">
        <v>345.11850883748343</v>
      </c>
      <c r="GL78" s="29">
        <v>240.25558093309382</v>
      </c>
      <c r="GM78" s="28">
        <v>345.23123443839728</v>
      </c>
      <c r="GN78" s="29">
        <v>240.33405529491475</v>
      </c>
      <c r="GO78" s="28">
        <v>345.34399685872472</v>
      </c>
      <c r="GP78" s="29">
        <v>240.41255528871247</v>
      </c>
      <c r="GQ78" s="28">
        <v>345.45679611049189</v>
      </c>
      <c r="GR78" s="29">
        <v>240.49108092285888</v>
      </c>
      <c r="GS78" s="28">
        <v>345.56963220572914</v>
      </c>
      <c r="GT78" s="29">
        <v>240.56963220572914</v>
      </c>
    </row>
    <row r="79" spans="113:202" x14ac:dyDescent="0.25">
      <c r="DS79" s="28">
        <v>326.56758286322861</v>
      </c>
      <c r="DT79" s="29">
        <v>222.89642854667542</v>
      </c>
      <c r="DU79" s="28">
        <v>326.6742491997901</v>
      </c>
      <c r="DV79" s="29">
        <v>222.9692329115706</v>
      </c>
      <c r="DW79" s="28">
        <v>326.78095037663553</v>
      </c>
      <c r="DX79" s="29">
        <v>223.04206105645895</v>
      </c>
      <c r="DY79" s="28">
        <v>326.88768640514496</v>
      </c>
      <c r="DZ79" s="29">
        <v>223.11491298910769</v>
      </c>
      <c r="EA79" s="28">
        <v>326.99445729670185</v>
      </c>
      <c r="EB79" s="29">
        <v>223.18778871728659</v>
      </c>
      <c r="EC79" s="28">
        <v>327.10126306269336</v>
      </c>
      <c r="ED79" s="29">
        <v>223.26068824876782</v>
      </c>
      <c r="EE79" s="28">
        <v>327.20810371451074</v>
      </c>
      <c r="EF79" s="29">
        <v>223.33361159132653</v>
      </c>
      <c r="EG79" s="28">
        <v>327.31497926354848</v>
      </c>
      <c r="EH79" s="29">
        <v>223.4065587527399</v>
      </c>
      <c r="EI79" s="28">
        <v>327.42188972120505</v>
      </c>
      <c r="EJ79" s="29">
        <v>223.47952974078777</v>
      </c>
      <c r="EK79" s="28">
        <v>327.52883509888272</v>
      </c>
      <c r="EL79" s="29">
        <v>223.55252456325283</v>
      </c>
      <c r="EM79" s="28">
        <v>327.63581540798737</v>
      </c>
      <c r="EN79" s="29">
        <v>223.62554322792002</v>
      </c>
      <c r="EO79" s="28">
        <v>327.74283065992836</v>
      </c>
      <c r="EP79" s="29">
        <v>223.69858574257663</v>
      </c>
      <c r="EQ79" s="28">
        <v>327.84988086611918</v>
      </c>
      <c r="ER79" s="29">
        <v>223.77165211501298</v>
      </c>
      <c r="ES79" s="28">
        <v>327.95696603797711</v>
      </c>
      <c r="ET79" s="29">
        <v>223.84474235302187</v>
      </c>
      <c r="EU79" s="28">
        <v>328.06408618692257</v>
      </c>
      <c r="EV79" s="29">
        <v>223.9178564643982</v>
      </c>
      <c r="EW79" s="28">
        <v>328.17124132437999</v>
      </c>
      <c r="EX79" s="29">
        <v>223.99099445693949</v>
      </c>
      <c r="EY79" s="28">
        <v>328.27843146177838</v>
      </c>
      <c r="EZ79" s="29">
        <v>224.06415633844676</v>
      </c>
      <c r="FA79" s="28">
        <v>328.38565661054889</v>
      </c>
      <c r="FB79" s="29">
        <v>224.13734211672207</v>
      </c>
      <c r="FC79" s="28">
        <v>328.49291678212757</v>
      </c>
      <c r="FD79" s="29">
        <v>224.21055179957116</v>
      </c>
      <c r="FE79" s="28">
        <v>328.60021198795397</v>
      </c>
      <c r="FF79" s="29">
        <v>224.28378539480192</v>
      </c>
      <c r="FG79" s="28">
        <v>328.70754223947097</v>
      </c>
      <c r="FH79" s="29">
        <v>224.35704291022464</v>
      </c>
      <c r="FI79" s="28">
        <v>328.81490754812592</v>
      </c>
      <c r="FJ79" s="29">
        <v>224.43032435365262</v>
      </c>
      <c r="FK79" s="28">
        <v>328.9223079253693</v>
      </c>
      <c r="FL79" s="29">
        <v>224.50362973290132</v>
      </c>
      <c r="FM79" s="28">
        <v>329.02974338265551</v>
      </c>
      <c r="FN79" s="29">
        <v>224.5769590557889</v>
      </c>
      <c r="FO79" s="28">
        <v>329.13721393144249</v>
      </c>
      <c r="FP79" s="29">
        <v>224.65031233013579</v>
      </c>
      <c r="FQ79" s="28">
        <v>329.24471958319225</v>
      </c>
      <c r="FR79" s="29">
        <v>224.72368956376539</v>
      </c>
      <c r="FS79" s="28">
        <v>329.35226034937079</v>
      </c>
      <c r="FT79" s="29">
        <v>224.79709076450379</v>
      </c>
      <c r="FU79" s="28">
        <v>329.45983624144714</v>
      </c>
      <c r="FV79" s="29">
        <v>224.87051594017902</v>
      </c>
      <c r="FW79" s="28">
        <v>329.56744727089426</v>
      </c>
      <c r="FX79" s="29">
        <v>224.94396509862173</v>
      </c>
      <c r="FY79" s="28">
        <v>329.67509344918943</v>
      </c>
      <c r="FZ79" s="29">
        <v>225.01743824766595</v>
      </c>
      <c r="GA79" s="28">
        <v>329.78277478781297</v>
      </c>
      <c r="GB79" s="29">
        <v>225.09093539514728</v>
      </c>
      <c r="GC79" s="28">
        <v>329.89049129824946</v>
      </c>
      <c r="GD79" s="29">
        <v>225.16445654890455</v>
      </c>
      <c r="GE79" s="28">
        <v>329.99824299198673</v>
      </c>
      <c r="GF79" s="29">
        <v>225.2380017167786</v>
      </c>
      <c r="GG79" s="28">
        <v>330.10602988051699</v>
      </c>
      <c r="GH79" s="29">
        <v>225.31157090661341</v>
      </c>
      <c r="GI79" s="28">
        <v>330.21385197533567</v>
      </c>
      <c r="GJ79" s="29">
        <v>225.38516412625515</v>
      </c>
      <c r="GK79" s="28">
        <v>330.32170928794216</v>
      </c>
      <c r="GL79" s="29">
        <v>225.45878138355258</v>
      </c>
      <c r="GM79" s="28">
        <v>330.42960182983967</v>
      </c>
      <c r="GN79" s="29">
        <v>225.53242268635711</v>
      </c>
      <c r="GO79" s="28">
        <v>330.5375296125352</v>
      </c>
      <c r="GP79" s="29">
        <v>225.60608804252286</v>
      </c>
      <c r="GQ79" s="28">
        <v>330.64549264753913</v>
      </c>
      <c r="GR79" s="29">
        <v>225.67977745990612</v>
      </c>
      <c r="GS79" s="28">
        <v>330.75349094636607</v>
      </c>
      <c r="GT79" s="29">
        <v>225.75349094636607</v>
      </c>
    </row>
    <row r="80" spans="113:202" x14ac:dyDescent="0.25">
      <c r="DI80" s="28">
        <v>312.05618033977669</v>
      </c>
      <c r="DJ80" s="29">
        <v>208.55417010355586</v>
      </c>
      <c r="DK80" s="28">
        <v>312.15810683617411</v>
      </c>
      <c r="DL80" s="29">
        <v>208.62228987559362</v>
      </c>
      <c r="DM80" s="28">
        <v>312.26006662468791</v>
      </c>
      <c r="DN80" s="29">
        <v>208.69043189750221</v>
      </c>
      <c r="DO80" s="28">
        <v>312.36205971619199</v>
      </c>
      <c r="DP80" s="29">
        <v>208.75859617654905</v>
      </c>
      <c r="DQ80" s="28">
        <v>312.46408612156461</v>
      </c>
      <c r="DR80" s="29">
        <v>208.82678272000396</v>
      </c>
      <c r="DS80" s="28">
        <v>312.56614585168637</v>
      </c>
      <c r="DT80" s="29">
        <v>208.894991535136</v>
      </c>
      <c r="DU80" s="28">
        <v>312.66823891744269</v>
      </c>
      <c r="DV80" s="29">
        <v>208.96322262922459</v>
      </c>
      <c r="DW80" s="28">
        <v>312.77036532972159</v>
      </c>
      <c r="DX80" s="29">
        <v>209.03147600954557</v>
      </c>
      <c r="DY80" s="28">
        <v>312.87252509941521</v>
      </c>
      <c r="DZ80" s="29">
        <v>209.09975168337817</v>
      </c>
      <c r="EA80" s="28">
        <v>312.97471823741893</v>
      </c>
      <c r="EB80" s="29">
        <v>209.16804965800372</v>
      </c>
      <c r="EC80" s="28">
        <v>313.07694475463171</v>
      </c>
      <c r="ED80" s="29">
        <v>209.23636994070623</v>
      </c>
      <c r="EE80" s="28">
        <v>313.17920466195642</v>
      </c>
      <c r="EF80" s="29">
        <v>209.30471253877226</v>
      </c>
      <c r="EG80" s="28">
        <v>313.28149797029897</v>
      </c>
      <c r="EH80" s="29">
        <v>209.37307745949045</v>
      </c>
      <c r="EI80" s="28">
        <v>313.38382469056916</v>
      </c>
      <c r="EJ80" s="29">
        <v>209.44146471015196</v>
      </c>
      <c r="EK80" s="28">
        <v>313.48618483368034</v>
      </c>
      <c r="EL80" s="29">
        <v>209.50987429805053</v>
      </c>
      <c r="EM80" s="28">
        <v>313.58857841054942</v>
      </c>
      <c r="EN80" s="29">
        <v>209.5783062304821</v>
      </c>
      <c r="EO80" s="28">
        <v>313.69100543209663</v>
      </c>
      <c r="EP80" s="29">
        <v>209.64676051474495</v>
      </c>
      <c r="EQ80" s="28">
        <v>313.79346590924604</v>
      </c>
      <c r="ER80" s="29">
        <v>209.71523715813987</v>
      </c>
      <c r="ES80" s="28">
        <v>313.89595985292544</v>
      </c>
      <c r="ET80" s="29">
        <v>209.78373616797032</v>
      </c>
      <c r="EU80" s="28">
        <v>313.99848727406555</v>
      </c>
      <c r="EV80" s="29">
        <v>209.85225755154124</v>
      </c>
      <c r="EW80" s="28">
        <v>314.10104818360111</v>
      </c>
      <c r="EX80" s="29">
        <v>209.92080131616061</v>
      </c>
      <c r="EY80" s="28">
        <v>314.203642592471</v>
      </c>
      <c r="EZ80" s="29">
        <v>209.98936746913941</v>
      </c>
      <c r="FA80" s="28">
        <v>314.30627051161633</v>
      </c>
      <c r="FB80" s="29">
        <v>210.05795601778954</v>
      </c>
      <c r="FC80" s="28">
        <v>314.40893195198282</v>
      </c>
      <c r="FD80" s="29">
        <v>210.12656696942636</v>
      </c>
      <c r="FE80" s="28">
        <v>314.51162692451953</v>
      </c>
      <c r="FF80" s="29">
        <v>210.19520033136752</v>
      </c>
      <c r="FG80" s="28">
        <v>314.61435544017877</v>
      </c>
      <c r="FH80" s="29">
        <v>210.26385611093238</v>
      </c>
      <c r="FI80" s="28">
        <v>314.71711750991705</v>
      </c>
      <c r="FJ80" s="29">
        <v>210.33253431544378</v>
      </c>
      <c r="FK80" s="28">
        <v>314.81991314469394</v>
      </c>
      <c r="FL80" s="29">
        <v>210.40123495222602</v>
      </c>
      <c r="FM80" s="28">
        <v>314.92274235547274</v>
      </c>
      <c r="FN80" s="29">
        <v>210.46995802860619</v>
      </c>
      <c r="FO80" s="28">
        <v>315.02560515322011</v>
      </c>
      <c r="FP80" s="29">
        <v>210.53870355191347</v>
      </c>
      <c r="FQ80" s="28">
        <v>315.12850154890668</v>
      </c>
      <c r="FR80" s="29">
        <v>210.60747152947991</v>
      </c>
      <c r="FS80" s="28">
        <v>315.23143155350681</v>
      </c>
      <c r="FT80" s="29">
        <v>210.67626196863986</v>
      </c>
      <c r="FU80" s="28">
        <v>315.33439517799781</v>
      </c>
      <c r="FV80" s="29">
        <v>210.74507487672972</v>
      </c>
      <c r="FW80" s="28">
        <v>315.43739243336074</v>
      </c>
      <c r="FX80" s="29">
        <v>210.8139102610883</v>
      </c>
      <c r="FY80" s="28">
        <v>315.54042333058078</v>
      </c>
      <c r="FZ80" s="29">
        <v>210.88276812905733</v>
      </c>
      <c r="GA80" s="28">
        <v>315.64348788064609</v>
      </c>
      <c r="GB80" s="29">
        <v>210.95164848798044</v>
      </c>
      <c r="GC80" s="28">
        <v>315.74658609454877</v>
      </c>
      <c r="GD80" s="29">
        <v>211.02055134520396</v>
      </c>
      <c r="GE80" s="28">
        <v>315.84971798328422</v>
      </c>
      <c r="GF80" s="29">
        <v>211.08947670807612</v>
      </c>
      <c r="GG80" s="28">
        <v>315.95288355785186</v>
      </c>
      <c r="GH80" s="29">
        <v>211.15842458394835</v>
      </c>
      <c r="GI80" s="28">
        <v>316.05608282925425</v>
      </c>
      <c r="GJ80" s="29">
        <v>211.22739498017376</v>
      </c>
      <c r="GK80" s="28">
        <v>316.15931580849781</v>
      </c>
      <c r="GL80" s="29">
        <v>211.2963879041082</v>
      </c>
      <c r="GM80" s="28">
        <v>316.26258250659248</v>
      </c>
      <c r="GN80" s="29">
        <v>211.36540336310986</v>
      </c>
      <c r="GO80" s="28">
        <v>316.36588293455196</v>
      </c>
      <c r="GP80" s="29">
        <v>211.43444136453959</v>
      </c>
      <c r="GQ80" s="28">
        <v>316.46921710339308</v>
      </c>
      <c r="GR80" s="29">
        <v>211.50350191576004</v>
      </c>
      <c r="GS80" s="28">
        <v>316.5725850241368</v>
      </c>
      <c r="GT80" s="29">
        <v>211.5725850241368</v>
      </c>
    </row>
    <row r="81" spans="19:202" x14ac:dyDescent="0.25">
      <c r="CY81" s="28">
        <v>298.18960851676172</v>
      </c>
      <c r="CZ81" s="29">
        <v>194.85646639551163</v>
      </c>
      <c r="DA81" s="28">
        <v>298.28700579319155</v>
      </c>
      <c r="DB81" s="29">
        <v>194.92011210475042</v>
      </c>
      <c r="DC81" s="28">
        <v>298.3844348823647</v>
      </c>
      <c r="DD81" s="29">
        <v>194.98377860250281</v>
      </c>
      <c r="DE81" s="28">
        <v>298.48189579467208</v>
      </c>
      <c r="DF81" s="29">
        <v>195.04746589555893</v>
      </c>
      <c r="DG81" s="28">
        <v>298.57938854050786</v>
      </c>
      <c r="DH81" s="29">
        <v>195.11117399071114</v>
      </c>
      <c r="DI81" s="28">
        <v>298.67691313027001</v>
      </c>
      <c r="DJ81" s="29">
        <v>195.1749028944744</v>
      </c>
      <c r="DK81" s="28">
        <v>298.77446957435973</v>
      </c>
      <c r="DL81" s="29">
        <v>195.23865261402872</v>
      </c>
      <c r="DM81" s="28">
        <v>298.87205788318141</v>
      </c>
      <c r="DN81" s="29">
        <v>195.30242315613722</v>
      </c>
      <c r="DO81" s="28">
        <v>298.96967806714275</v>
      </c>
      <c r="DP81" s="29">
        <v>195.36621452757632</v>
      </c>
      <c r="DQ81" s="28">
        <v>299.0673301366557</v>
      </c>
      <c r="DR81" s="29">
        <v>195.43002673513365</v>
      </c>
      <c r="DS81" s="28">
        <v>299.16501410213419</v>
      </c>
      <c r="DT81" s="29">
        <v>195.49385978560403</v>
      </c>
      <c r="DU81" s="28">
        <v>299.26272997399712</v>
      </c>
      <c r="DV81" s="29">
        <v>195.55771368578922</v>
      </c>
      <c r="DW81" s="28">
        <v>299.36047776266554</v>
      </c>
      <c r="DX81" s="29">
        <v>195.62158844249444</v>
      </c>
      <c r="DY81" s="28">
        <v>299.45825747856469</v>
      </c>
      <c r="DZ81" s="29">
        <v>195.68548406252992</v>
      </c>
      <c r="EA81" s="28">
        <v>299.55606913212273</v>
      </c>
      <c r="EB81" s="29">
        <v>195.74940055270861</v>
      </c>
      <c r="EC81" s="28">
        <v>299.65391273377139</v>
      </c>
      <c r="ED81" s="29">
        <v>195.81333791984639</v>
      </c>
      <c r="EE81" s="28">
        <v>299.75178829394611</v>
      </c>
      <c r="EF81" s="29">
        <v>195.87729617076221</v>
      </c>
      <c r="EG81" s="28">
        <v>299.84969582308514</v>
      </c>
      <c r="EH81" s="29">
        <v>195.94127531227673</v>
      </c>
      <c r="EI81" s="28">
        <v>299.94763533163058</v>
      </c>
      <c r="EJ81" s="29">
        <v>196.00527535121344</v>
      </c>
      <c r="EK81" s="28">
        <v>300.04560683002785</v>
      </c>
      <c r="EL81" s="29">
        <v>196.06929629439804</v>
      </c>
      <c r="EM81" s="28">
        <v>300.14361032872586</v>
      </c>
      <c r="EN81" s="29">
        <v>196.13333814865859</v>
      </c>
      <c r="EO81" s="28">
        <v>300.24164583817651</v>
      </c>
      <c r="EP81" s="29">
        <v>196.19740092082498</v>
      </c>
      <c r="EQ81" s="28">
        <v>300.33971336883565</v>
      </c>
      <c r="ER81" s="29">
        <v>196.26148461772962</v>
      </c>
      <c r="ES81" s="28">
        <v>300.43781293116245</v>
      </c>
      <c r="ET81" s="29">
        <v>196.32558924620736</v>
      </c>
      <c r="EU81" s="28">
        <v>300.53594453561908</v>
      </c>
      <c r="EV81" s="29">
        <v>196.38971481309477</v>
      </c>
      <c r="EW81" s="28">
        <v>300.63410819267131</v>
      </c>
      <c r="EX81" s="29">
        <v>196.45386132523089</v>
      </c>
      <c r="EY81" s="28">
        <v>300.73230391278918</v>
      </c>
      <c r="EZ81" s="29">
        <v>196.51802878945765</v>
      </c>
      <c r="FA81" s="28">
        <v>300.83053170644456</v>
      </c>
      <c r="FB81" s="29">
        <v>196.58221721261785</v>
      </c>
      <c r="FC81" s="28">
        <v>300.92879158411398</v>
      </c>
      <c r="FD81" s="29">
        <v>196.64642660155766</v>
      </c>
      <c r="FE81" s="28">
        <v>301.02708355627703</v>
      </c>
      <c r="FF81" s="29">
        <v>196.71065696312507</v>
      </c>
      <c r="FG81" s="28">
        <v>301.12540763341644</v>
      </c>
      <c r="FH81" s="29">
        <v>196.77490830417017</v>
      </c>
      <c r="FI81" s="28">
        <v>301.22376382601897</v>
      </c>
      <c r="FJ81" s="29">
        <v>196.83918063154576</v>
      </c>
      <c r="FK81" s="28">
        <v>301.32215214457426</v>
      </c>
      <c r="FL81" s="29">
        <v>196.90347395210642</v>
      </c>
      <c r="FM81" s="28">
        <v>301.42057259957562</v>
      </c>
      <c r="FN81" s="29">
        <v>196.96778827270916</v>
      </c>
      <c r="FO81" s="28">
        <v>301.51902520151958</v>
      </c>
      <c r="FP81" s="29">
        <v>197.03212360021297</v>
      </c>
      <c r="FQ81" s="28">
        <v>301.61750996090626</v>
      </c>
      <c r="FR81" s="29">
        <v>197.09647994147946</v>
      </c>
      <c r="FS81" s="28">
        <v>301.71602688823958</v>
      </c>
      <c r="FT81" s="29">
        <v>197.16085730337258</v>
      </c>
      <c r="FU81" s="28">
        <v>301.8145759940262</v>
      </c>
      <c r="FV81" s="29">
        <v>197.22525569275808</v>
      </c>
      <c r="FW81" s="28">
        <v>301.9131572887764</v>
      </c>
      <c r="FX81" s="29">
        <v>197.28967511650396</v>
      </c>
      <c r="FY81" s="28">
        <v>302.01177078300429</v>
      </c>
      <c r="FZ81" s="29">
        <v>197.35411558148093</v>
      </c>
      <c r="GA81" s="28">
        <v>302.11041648722704</v>
      </c>
      <c r="GB81" s="29">
        <v>197.4185770945615</v>
      </c>
      <c r="GC81" s="28">
        <v>302.20909441196534</v>
      </c>
      <c r="GD81" s="29">
        <v>197.48305966262052</v>
      </c>
      <c r="GE81" s="28">
        <v>302.30780456774329</v>
      </c>
      <c r="GF81" s="29">
        <v>197.54756329253524</v>
      </c>
      <c r="GG81" s="28">
        <v>302.40654696508858</v>
      </c>
      <c r="GH81" s="29">
        <v>197.61208799118509</v>
      </c>
      <c r="GI81" s="28">
        <v>302.50532161453214</v>
      </c>
      <c r="GJ81" s="29">
        <v>197.67663376545161</v>
      </c>
      <c r="GK81" s="28">
        <v>302.60412852660846</v>
      </c>
      <c r="GL81" s="29">
        <v>197.74120062221883</v>
      </c>
      <c r="GM81" s="28">
        <v>302.70296771185548</v>
      </c>
      <c r="GN81" s="29">
        <v>197.80578856837292</v>
      </c>
      <c r="GO81" s="28">
        <v>302.80183918081462</v>
      </c>
      <c r="GP81" s="29">
        <v>197.87039761080231</v>
      </c>
      <c r="GQ81" s="28">
        <v>302.90074294403041</v>
      </c>
      <c r="GR81" s="29">
        <v>197.9350277563974</v>
      </c>
      <c r="GS81" s="28">
        <v>302.99967901205127</v>
      </c>
      <c r="GT81" s="29">
        <v>197.99967901205127</v>
      </c>
    </row>
    <row r="82" spans="19:202" x14ac:dyDescent="0.25">
      <c r="CQ82" s="28">
        <v>285.03228292502155</v>
      </c>
      <c r="CR82" s="29">
        <v>181.83403693025386</v>
      </c>
      <c r="CS82" s="28">
        <v>285.12538264163999</v>
      </c>
      <c r="CT82" s="29">
        <v>181.89342914062416</v>
      </c>
      <c r="CU82" s="28">
        <v>285.21851276729541</v>
      </c>
      <c r="CV82" s="29">
        <v>181.95284075019339</v>
      </c>
      <c r="CW82" s="28">
        <v>285.31167331192046</v>
      </c>
      <c r="CX82" s="29">
        <v>182.01227176529787</v>
      </c>
      <c r="CY82" s="28">
        <v>285.40486428545057</v>
      </c>
      <c r="CZ82" s="29">
        <v>182.0717221835022</v>
      </c>
      <c r="DA82" s="28">
        <v>285.49808569782476</v>
      </c>
      <c r="DB82" s="29">
        <v>182.13119202238607</v>
      </c>
      <c r="DC82" s="28">
        <v>285.59133755898529</v>
      </c>
      <c r="DD82" s="29">
        <v>182.19068128765821</v>
      </c>
      <c r="DE82" s="28">
        <v>285.68461987887758</v>
      </c>
      <c r="DF82" s="29">
        <v>182.25018998516811</v>
      </c>
      <c r="DG82" s="28">
        <v>285.77793266745022</v>
      </c>
      <c r="DH82" s="29">
        <v>182.3097181208777</v>
      </c>
      <c r="DI82" s="28">
        <v>285.87127593465527</v>
      </c>
      <c r="DJ82" s="29">
        <v>182.36926570090785</v>
      </c>
      <c r="DK82" s="28">
        <v>285.96464969044808</v>
      </c>
      <c r="DL82" s="29">
        <v>182.42883273138881</v>
      </c>
      <c r="DM82" s="28">
        <v>286.05805394478693</v>
      </c>
      <c r="DN82" s="29">
        <v>182.488419218513</v>
      </c>
      <c r="DO82" s="28">
        <v>286.15148870763329</v>
      </c>
      <c r="DP82" s="29">
        <v>182.54802516852104</v>
      </c>
      <c r="DQ82" s="28">
        <v>286.24495398895266</v>
      </c>
      <c r="DR82" s="29">
        <v>182.60765058769101</v>
      </c>
      <c r="DS82" s="28">
        <v>286.33844979871253</v>
      </c>
      <c r="DT82" s="29">
        <v>182.66729548232701</v>
      </c>
      <c r="DU82" s="28">
        <v>286.43197614688506</v>
      </c>
      <c r="DV82" s="29">
        <v>182.72695985875464</v>
      </c>
      <c r="DW82" s="28">
        <v>286.52553304344457</v>
      </c>
      <c r="DX82" s="29">
        <v>182.78664372331346</v>
      </c>
      <c r="DY82" s="28">
        <v>286.61912049836923</v>
      </c>
      <c r="DZ82" s="29">
        <v>182.8463470823543</v>
      </c>
      <c r="EA82" s="28">
        <v>286.71273852164012</v>
      </c>
      <c r="EB82" s="29">
        <v>182.90606994223532</v>
      </c>
      <c r="EC82" s="28">
        <v>286.80638712324179</v>
      </c>
      <c r="ED82" s="29">
        <v>182.965812309321</v>
      </c>
      <c r="EE82" s="28">
        <v>286.90006631316214</v>
      </c>
      <c r="EF82" s="29">
        <v>183.02557418997998</v>
      </c>
      <c r="EG82" s="28">
        <v>286.99377610139203</v>
      </c>
      <c r="EH82" s="29">
        <v>183.0853555905843</v>
      </c>
      <c r="EI82" s="28">
        <v>287.08751649792572</v>
      </c>
      <c r="EJ82" s="29">
        <v>183.14515651750887</v>
      </c>
      <c r="EK82" s="28">
        <v>287.18128751276089</v>
      </c>
      <c r="EL82" s="29">
        <v>183.20497697713125</v>
      </c>
      <c r="EM82" s="28">
        <v>287.2750891558984</v>
      </c>
      <c r="EN82" s="29">
        <v>183.26481697583125</v>
      </c>
      <c r="EO82" s="28">
        <v>287.36892143734207</v>
      </c>
      <c r="EP82" s="29">
        <v>183.32467651999053</v>
      </c>
      <c r="EQ82" s="28">
        <v>287.4627843670994</v>
      </c>
      <c r="ER82" s="29">
        <v>183.38455561599338</v>
      </c>
      <c r="ES82" s="28">
        <v>287.55667795518121</v>
      </c>
      <c r="ET82" s="29">
        <v>183.44445427022617</v>
      </c>
      <c r="EU82" s="28">
        <v>287.65060221160104</v>
      </c>
      <c r="EV82" s="29">
        <v>183.50437248907684</v>
      </c>
      <c r="EW82" s="28">
        <v>287.744557146376</v>
      </c>
      <c r="EX82" s="29">
        <v>183.56431027893564</v>
      </c>
      <c r="EY82" s="28">
        <v>287.83854276952712</v>
      </c>
      <c r="EZ82" s="29">
        <v>183.62426764619559</v>
      </c>
      <c r="FA82" s="28">
        <v>287.93255909107745</v>
      </c>
      <c r="FB82" s="29">
        <v>183.68424459725074</v>
      </c>
      <c r="FC82" s="28">
        <v>288.02660612105427</v>
      </c>
      <c r="FD82" s="29">
        <v>183.74424113849793</v>
      </c>
      <c r="FE82" s="28">
        <v>288.12068386948783</v>
      </c>
      <c r="FF82" s="29">
        <v>183.8042572763359</v>
      </c>
      <c r="FG82" s="28">
        <v>288.21479234641146</v>
      </c>
      <c r="FH82" s="29">
        <v>183.86429301716524</v>
      </c>
      <c r="FI82" s="28">
        <v>288.30893156186227</v>
      </c>
      <c r="FJ82" s="29">
        <v>183.92434836738906</v>
      </c>
      <c r="FK82" s="28">
        <v>288.40310152588023</v>
      </c>
      <c r="FL82" s="29">
        <v>183.98442333341239</v>
      </c>
      <c r="FM82" s="28">
        <v>288.49730224850867</v>
      </c>
      <c r="FN82" s="29">
        <v>184.04451792164221</v>
      </c>
      <c r="FO82" s="28">
        <v>288.59153373979416</v>
      </c>
      <c r="FP82" s="29">
        <v>184.10463213848763</v>
      </c>
      <c r="FQ82" s="28">
        <v>288.6857960097866</v>
      </c>
      <c r="FR82" s="29">
        <v>184.16476599035985</v>
      </c>
      <c r="FS82" s="28">
        <v>288.7800890685395</v>
      </c>
      <c r="FT82" s="29">
        <v>184.22491948367261</v>
      </c>
      <c r="FU82" s="28">
        <v>288.87441292610913</v>
      </c>
      <c r="FV82" s="29">
        <v>184.28509262484107</v>
      </c>
      <c r="FW82" s="28">
        <v>288.96876759255514</v>
      </c>
      <c r="FX82" s="29">
        <v>184.34528542028272</v>
      </c>
      <c r="FY82" s="28">
        <v>289.06315307794085</v>
      </c>
      <c r="FZ82" s="29">
        <v>184.40549787641746</v>
      </c>
      <c r="GA82" s="28">
        <v>289.1575693923325</v>
      </c>
      <c r="GB82" s="29">
        <v>184.46572999966691</v>
      </c>
      <c r="GC82" s="28">
        <v>289.25201654579968</v>
      </c>
      <c r="GD82" s="29">
        <v>184.52598179645483</v>
      </c>
      <c r="GE82" s="28">
        <v>289.34649454841531</v>
      </c>
      <c r="GF82" s="29">
        <v>184.58625327320718</v>
      </c>
      <c r="GG82" s="28">
        <v>289.44100341025569</v>
      </c>
      <c r="GH82" s="29">
        <v>184.64654443635214</v>
      </c>
      <c r="GI82" s="28">
        <v>289.5355431414003</v>
      </c>
      <c r="GJ82" s="29">
        <v>184.7068552923198</v>
      </c>
      <c r="GK82" s="28">
        <v>289.6301137519319</v>
      </c>
      <c r="GL82" s="29">
        <v>184.76718584754229</v>
      </c>
      <c r="GM82" s="28">
        <v>289.72471525193663</v>
      </c>
      <c r="GN82" s="29">
        <v>184.8275361084541</v>
      </c>
      <c r="GO82" s="28">
        <v>289.81934765150396</v>
      </c>
      <c r="GP82" s="29">
        <v>184.88790608149162</v>
      </c>
      <c r="GQ82" s="28">
        <v>289.91401096072633</v>
      </c>
      <c r="GR82" s="29">
        <v>184.94829577309329</v>
      </c>
      <c r="GS82" s="28">
        <v>290.00870518969992</v>
      </c>
      <c r="GT82" s="29">
        <v>185.00870518969992</v>
      </c>
    </row>
    <row r="83" spans="19:202" x14ac:dyDescent="0.25">
      <c r="CI83" s="28">
        <v>272.45551149004154</v>
      </c>
      <c r="CJ83" s="29">
        <v>169.39198588516498</v>
      </c>
      <c r="CK83" s="28">
        <v>272.54450327248287</v>
      </c>
      <c r="CL83" s="29">
        <v>169.4473141649006</v>
      </c>
      <c r="CM83" s="28">
        <v>272.63352412219223</v>
      </c>
      <c r="CN83" s="29">
        <v>169.50266051643888</v>
      </c>
      <c r="CO83" s="28">
        <v>272.72257404866383</v>
      </c>
      <c r="CP83" s="29">
        <v>169.55802494568258</v>
      </c>
      <c r="CQ83" s="28">
        <v>272.81165306139479</v>
      </c>
      <c r="CR83" s="29">
        <v>169.61340735563925</v>
      </c>
      <c r="CS83" s="28">
        <v>272.90076116988547</v>
      </c>
      <c r="CT83" s="29">
        <v>169.66880787760059</v>
      </c>
      <c r="CU83" s="28">
        <v>272.9898983836394</v>
      </c>
      <c r="CV83" s="29">
        <v>169.72422651281687</v>
      </c>
      <c r="CW83" s="28">
        <v>273.07906471216347</v>
      </c>
      <c r="CX83" s="29">
        <v>169.77966326312347</v>
      </c>
      <c r="CY83" s="28">
        <v>273.16826016496714</v>
      </c>
      <c r="CZ83" s="29">
        <v>169.83511813299913</v>
      </c>
      <c r="DA83" s="28">
        <v>273.2574847515632</v>
      </c>
      <c r="DB83" s="29">
        <v>169.8905911255857</v>
      </c>
      <c r="DC83" s="28">
        <v>273.3467384814677</v>
      </c>
      <c r="DD83" s="29">
        <v>169.94608224456138</v>
      </c>
      <c r="DE83" s="28">
        <v>273.43602136419969</v>
      </c>
      <c r="DF83" s="29">
        <v>170.00159149405982</v>
      </c>
      <c r="DG83" s="28">
        <v>273.52533340928113</v>
      </c>
      <c r="DH83" s="29">
        <v>170.05711887859871</v>
      </c>
      <c r="DI83" s="28">
        <v>273.61467462623744</v>
      </c>
      <c r="DJ83" s="29">
        <v>170.11266440300142</v>
      </c>
      <c r="DK83" s="28">
        <v>273.70404502459718</v>
      </c>
      <c r="DL83" s="29">
        <v>170.1682280723503</v>
      </c>
      <c r="DM83" s="28">
        <v>273.79344461389161</v>
      </c>
      <c r="DN83" s="29">
        <v>170.2238098919361</v>
      </c>
      <c r="DO83" s="28">
        <v>273.88287340365508</v>
      </c>
      <c r="DP83" s="29">
        <v>170.27940986721529</v>
      </c>
      <c r="DQ83" s="28">
        <v>273.97233140342593</v>
      </c>
      <c r="DR83" s="29">
        <v>170.33502800377542</v>
      </c>
      <c r="DS83" s="28">
        <v>274.06181862274423</v>
      </c>
      <c r="DT83" s="29">
        <v>170.39066430730256</v>
      </c>
      <c r="DU83" s="28">
        <v>274.15133507115456</v>
      </c>
      <c r="DV83" s="29">
        <v>170.44631878356009</v>
      </c>
      <c r="DW83" s="28">
        <v>274.24088075820367</v>
      </c>
      <c r="DX83" s="29">
        <v>170.5019914383665</v>
      </c>
      <c r="DY83" s="28">
        <v>274.33045569344188</v>
      </c>
      <c r="DZ83" s="29">
        <v>170.55768227758207</v>
      </c>
      <c r="EA83" s="28">
        <v>274.42005988642234</v>
      </c>
      <c r="EB83" s="29">
        <v>170.61339130709604</v>
      </c>
      <c r="EC83" s="28">
        <v>274.50969334670151</v>
      </c>
      <c r="ED83" s="29">
        <v>170.66911853281854</v>
      </c>
      <c r="EE83" s="28">
        <v>274.59935608383904</v>
      </c>
      <c r="EF83" s="29">
        <v>170.72486396067424</v>
      </c>
      <c r="EG83" s="28">
        <v>274.68904810739747</v>
      </c>
      <c r="EH83" s="29">
        <v>170.78062759659727</v>
      </c>
      <c r="EI83" s="28">
        <v>274.77876942694257</v>
      </c>
      <c r="EJ83" s="29">
        <v>170.83640944652876</v>
      </c>
      <c r="EK83" s="28">
        <v>274.86852005204338</v>
      </c>
      <c r="EL83" s="29">
        <v>170.89220951641485</v>
      </c>
      <c r="EM83" s="28">
        <v>274.95829999227198</v>
      </c>
      <c r="EN83" s="29">
        <v>170.94802781220514</v>
      </c>
      <c r="EO83" s="28">
        <v>275.04810925720318</v>
      </c>
      <c r="EP83" s="29">
        <v>171.00386433985173</v>
      </c>
      <c r="EQ83" s="28">
        <v>275.13794785641556</v>
      </c>
      <c r="ER83" s="29">
        <v>171.05971910530957</v>
      </c>
      <c r="ES83" s="28">
        <v>275.2278157994906</v>
      </c>
      <c r="ET83" s="29">
        <v>171.11559211453559</v>
      </c>
      <c r="EU83" s="28">
        <v>275.31771309601265</v>
      </c>
      <c r="EV83" s="29">
        <v>171.17148337348848</v>
      </c>
      <c r="EW83" s="28">
        <v>275.40763975556922</v>
      </c>
      <c r="EX83" s="29">
        <v>171.22739288812889</v>
      </c>
      <c r="EY83" s="28">
        <v>275.49759578775172</v>
      </c>
      <c r="EZ83" s="29">
        <v>171.2833206644203</v>
      </c>
      <c r="FA83" s="28">
        <v>275.5875812021535</v>
      </c>
      <c r="FB83" s="29">
        <v>171.3392667083269</v>
      </c>
      <c r="FC83" s="28">
        <v>275.67759600837195</v>
      </c>
      <c r="FD83" s="29">
        <v>171.39523102581569</v>
      </c>
      <c r="FE83" s="28">
        <v>275.76764021600724</v>
      </c>
      <c r="FF83" s="29">
        <v>171.45121362285536</v>
      </c>
      <c r="FG83" s="28">
        <v>275.85771383466249</v>
      </c>
      <c r="FH83" s="29">
        <v>171.50721450541627</v>
      </c>
      <c r="FI83" s="28">
        <v>275.94781687394448</v>
      </c>
      <c r="FJ83" s="29">
        <v>171.56323367947135</v>
      </c>
      <c r="FK83" s="28">
        <v>276.0379493434628</v>
      </c>
      <c r="FL83" s="29">
        <v>171.61927115099496</v>
      </c>
      <c r="FM83" s="28">
        <v>276.12811125283008</v>
      </c>
      <c r="FN83" s="29">
        <v>171.67532692596365</v>
      </c>
      <c r="FO83" s="28">
        <v>276.21830261166224</v>
      </c>
      <c r="FP83" s="29">
        <v>171.73140101035571</v>
      </c>
      <c r="FQ83" s="28">
        <v>276.30852342957826</v>
      </c>
      <c r="FR83" s="29">
        <v>171.78749341015154</v>
      </c>
      <c r="FS83" s="28">
        <v>276.39877371620054</v>
      </c>
      <c r="FT83" s="29">
        <v>171.84360413133362</v>
      </c>
      <c r="FU83" s="28">
        <v>276.48905348115426</v>
      </c>
      <c r="FV83" s="29">
        <v>171.8997331798862</v>
      </c>
      <c r="FW83" s="28">
        <v>276.57936273406779</v>
      </c>
      <c r="FX83" s="29">
        <v>171.95588056179537</v>
      </c>
      <c r="FY83" s="28">
        <v>276.66970148457295</v>
      </c>
      <c r="FZ83" s="29">
        <v>172.01204628304956</v>
      </c>
      <c r="GA83" s="28">
        <v>276.76006974230438</v>
      </c>
      <c r="GB83" s="29">
        <v>172.06823034963875</v>
      </c>
      <c r="GC83" s="28">
        <v>276.85046751689998</v>
      </c>
      <c r="GD83" s="29">
        <v>172.12443276755511</v>
      </c>
      <c r="GE83" s="28">
        <v>276.9408948180008</v>
      </c>
      <c r="GF83" s="29">
        <v>172.18065354279273</v>
      </c>
      <c r="GG83" s="28">
        <v>277.03135165525106</v>
      </c>
      <c r="GH83" s="29">
        <v>172.23689268134751</v>
      </c>
      <c r="GI83" s="28">
        <v>277.12183803829816</v>
      </c>
      <c r="GJ83" s="29">
        <v>172.29315018921761</v>
      </c>
      <c r="GK83" s="28">
        <v>277.21235397679254</v>
      </c>
      <c r="GL83" s="29">
        <v>172.34942607240293</v>
      </c>
      <c r="GM83" s="28">
        <v>277.30289948038791</v>
      </c>
      <c r="GN83" s="29">
        <v>172.40572033690532</v>
      </c>
      <c r="GO83" s="28">
        <v>277.3934745587411</v>
      </c>
      <c r="GP83" s="29">
        <v>172.46203298872879</v>
      </c>
      <c r="GQ83" s="28">
        <v>277.48407922151193</v>
      </c>
      <c r="GR83" s="29">
        <v>172.5183640338789</v>
      </c>
      <c r="GS83" s="28">
        <v>277.57471347836366</v>
      </c>
      <c r="GT83" s="29">
        <v>172.57471347836366</v>
      </c>
    </row>
    <row r="84" spans="19:202" x14ac:dyDescent="0.25">
      <c r="CA84" s="28">
        <v>260.43367782598523</v>
      </c>
      <c r="CB84" s="29">
        <v>157.50469993655528</v>
      </c>
      <c r="CC84" s="28">
        <v>260.51874293283805</v>
      </c>
      <c r="CD84" s="29">
        <v>157.55614548784408</v>
      </c>
      <c r="CE84" s="28">
        <v>260.60383582439368</v>
      </c>
      <c r="CF84" s="29">
        <v>157.60760784272506</v>
      </c>
      <c r="CG84" s="28">
        <v>260.68895650972792</v>
      </c>
      <c r="CH84" s="29">
        <v>157.65908700668678</v>
      </c>
      <c r="CI84" s="28">
        <v>260.77410499791881</v>
      </c>
      <c r="CJ84" s="29">
        <v>157.71058219424751</v>
      </c>
      <c r="CK84" s="28">
        <v>260.85928129804722</v>
      </c>
      <c r="CL84" s="29">
        <v>157.76209433559609</v>
      </c>
      <c r="CM84" s="28">
        <v>260.94448541919769</v>
      </c>
      <c r="CN84" s="29">
        <v>157.81362341330797</v>
      </c>
      <c r="CO84" s="28">
        <v>261.02971737045738</v>
      </c>
      <c r="CP84" s="29">
        <v>157.86516941051281</v>
      </c>
      <c r="CQ84" s="28">
        <v>261.11497716091628</v>
      </c>
      <c r="CR84" s="29">
        <v>157.91673233583288</v>
      </c>
      <c r="CS84" s="28">
        <v>261.20026479966742</v>
      </c>
      <c r="CT84" s="29">
        <v>157.96831217900382</v>
      </c>
      <c r="CU84" s="28">
        <v>261.28558029580682</v>
      </c>
      <c r="CV84" s="29">
        <v>158.0199089320092</v>
      </c>
      <c r="CW84" s="28">
        <v>261.37092365843381</v>
      </c>
      <c r="CX84" s="29">
        <v>158.07152258894567</v>
      </c>
      <c r="CY84" s="28">
        <v>261.45629489665009</v>
      </c>
      <c r="CZ84" s="29">
        <v>158.12315314539231</v>
      </c>
      <c r="DA84" s="28">
        <v>261.54169401956068</v>
      </c>
      <c r="DB84" s="29">
        <v>158.17480059853048</v>
      </c>
      <c r="DC84" s="28">
        <v>261.62712103627354</v>
      </c>
      <c r="DD84" s="29">
        <v>158.22646494695294</v>
      </c>
      <c r="DE84" s="28">
        <v>261.71257595589964</v>
      </c>
      <c r="DF84" s="29">
        <v>158.27814619048385</v>
      </c>
      <c r="DG84" s="28">
        <v>261.79805878755269</v>
      </c>
      <c r="DH84" s="29">
        <v>158.32984433001033</v>
      </c>
      <c r="DI84" s="28">
        <v>261.8835695403497</v>
      </c>
      <c r="DJ84" s="29">
        <v>158.38155936733082</v>
      </c>
      <c r="DK84" s="28">
        <v>261.96910822341067</v>
      </c>
      <c r="DL84" s="29">
        <v>158.43329130501391</v>
      </c>
      <c r="DM84" s="28">
        <v>262.0546748458583</v>
      </c>
      <c r="DN84" s="29">
        <v>158.48504014627122</v>
      </c>
      <c r="DO84" s="28">
        <v>262.14026941681806</v>
      </c>
      <c r="DP84" s="29">
        <v>158.53680589484478</v>
      </c>
      <c r="DQ84" s="28">
        <v>262.22589194541939</v>
      </c>
      <c r="DR84" s="29">
        <v>158.5885885549086</v>
      </c>
      <c r="DS84" s="28">
        <v>262.31154244079335</v>
      </c>
      <c r="DT84" s="29">
        <v>158.64038813098074</v>
      </c>
      <c r="DU84" s="28">
        <v>262.39722091207523</v>
      </c>
      <c r="DV84" s="29">
        <v>158.69220462785228</v>
      </c>
      <c r="DW84" s="28">
        <v>262.48292736840256</v>
      </c>
      <c r="DX84" s="29">
        <v>158.74403805052398</v>
      </c>
      <c r="DY84" s="28">
        <v>262.5686618189161</v>
      </c>
      <c r="DZ84" s="29">
        <v>158.79588840415633</v>
      </c>
      <c r="EA84" s="28">
        <v>262.65442427275951</v>
      </c>
      <c r="EB84" s="29">
        <v>158.84775569402839</v>
      </c>
      <c r="EC84" s="28">
        <v>262.74021473907942</v>
      </c>
      <c r="ED84" s="29">
        <v>158.89963992550537</v>
      </c>
      <c r="EE84" s="28">
        <v>262.82603322702568</v>
      </c>
      <c r="EF84" s="29">
        <v>158.95154110401387</v>
      </c>
      <c r="EG84" s="28">
        <v>262.91187974575087</v>
      </c>
      <c r="EH84" s="29">
        <v>159.00345923502252</v>
      </c>
      <c r="EI84" s="28">
        <v>262.99775430441053</v>
      </c>
      <c r="EJ84" s="29">
        <v>159.05539432402853</v>
      </c>
      <c r="EK84" s="28">
        <v>263.08365691216352</v>
      </c>
      <c r="EL84" s="29">
        <v>159.10734637654812</v>
      </c>
      <c r="EM84" s="28">
        <v>263.1695875781715</v>
      </c>
      <c r="EN84" s="29">
        <v>159.15931539810975</v>
      </c>
      <c r="EO84" s="28">
        <v>263.25554631159872</v>
      </c>
      <c r="EP84" s="29">
        <v>159.21130139424909</v>
      </c>
      <c r="EQ84" s="28">
        <v>263.34153312161317</v>
      </c>
      <c r="ER84" s="29">
        <v>159.26330437050777</v>
      </c>
      <c r="ES84" s="28">
        <v>263.42754801738539</v>
      </c>
      <c r="ET84" s="29">
        <v>159.31532433243052</v>
      </c>
      <c r="EU84" s="28">
        <v>263.51359100808895</v>
      </c>
      <c r="EV84" s="29">
        <v>159.36736128556478</v>
      </c>
      <c r="EW84" s="28">
        <v>263.59966210290025</v>
      </c>
      <c r="EX84" s="29">
        <v>159.41941523545992</v>
      </c>
      <c r="EY84" s="28">
        <v>263.68576131099945</v>
      </c>
      <c r="EZ84" s="29">
        <v>159.47148618766806</v>
      </c>
      <c r="FA84" s="28">
        <v>263.77188864156864</v>
      </c>
      <c r="FB84" s="29">
        <v>159.52357414774204</v>
      </c>
      <c r="FC84" s="28">
        <v>263.85804410379365</v>
      </c>
      <c r="FD84" s="29">
        <v>159.57567912123741</v>
      </c>
      <c r="FE84" s="28">
        <v>263.94422770686305</v>
      </c>
      <c r="FF84" s="29">
        <v>159.62780111371117</v>
      </c>
      <c r="FG84" s="28">
        <v>264.03043945996831</v>
      </c>
      <c r="FH84" s="29">
        <v>159.67994013072214</v>
      </c>
      <c r="FI84" s="28">
        <v>264.1166793723043</v>
      </c>
      <c r="FJ84" s="29">
        <v>159.73209617783115</v>
      </c>
      <c r="FK84" s="28">
        <v>264.20294745306859</v>
      </c>
      <c r="FL84" s="29">
        <v>159.78426926060084</v>
      </c>
      <c r="FM84" s="28">
        <v>264.28924371146161</v>
      </c>
      <c r="FN84" s="29">
        <v>159.83645938459523</v>
      </c>
      <c r="FO84" s="28">
        <v>264.37556815668711</v>
      </c>
      <c r="FP84" s="29">
        <v>159.88866655538061</v>
      </c>
      <c r="FQ84" s="28">
        <v>264.46192079795156</v>
      </c>
      <c r="FR84" s="29">
        <v>159.94089077852482</v>
      </c>
      <c r="FS84" s="28">
        <v>264.54830164446491</v>
      </c>
      <c r="FT84" s="29">
        <v>159.99313205959805</v>
      </c>
      <c r="FU84" s="28">
        <v>264.6347107054396</v>
      </c>
      <c r="FV84" s="29">
        <v>160.0453904041716</v>
      </c>
      <c r="FW84" s="28">
        <v>264.72114799009114</v>
      </c>
      <c r="FX84" s="29">
        <v>160.09766581781878</v>
      </c>
      <c r="FY84" s="28">
        <v>264.80761350763851</v>
      </c>
      <c r="FZ84" s="29">
        <v>160.14995830611514</v>
      </c>
      <c r="GA84" s="28">
        <v>264.89410726730318</v>
      </c>
      <c r="GB84" s="29">
        <v>160.20226787463758</v>
      </c>
      <c r="GC84" s="28">
        <v>264.98062927830983</v>
      </c>
      <c r="GD84" s="29">
        <v>160.25459452896501</v>
      </c>
      <c r="GE84" s="28">
        <v>265.06717954988625</v>
      </c>
      <c r="GF84" s="29">
        <v>160.30693827467815</v>
      </c>
      <c r="GG84" s="28">
        <v>265.15375809126306</v>
      </c>
      <c r="GH84" s="29">
        <v>160.35929911735954</v>
      </c>
      <c r="GI84" s="28">
        <v>265.24036491167402</v>
      </c>
      <c r="GJ84" s="29">
        <v>160.41167706259353</v>
      </c>
      <c r="GK84" s="28">
        <v>265.32700002035591</v>
      </c>
      <c r="GL84" s="29">
        <v>160.46407211596633</v>
      </c>
      <c r="GM84" s="28">
        <v>265.41366342654851</v>
      </c>
      <c r="GN84" s="29">
        <v>160.51648428306598</v>
      </c>
      <c r="GO84" s="28">
        <v>265.50035513949456</v>
      </c>
      <c r="GP84" s="29">
        <v>160.56891356948225</v>
      </c>
      <c r="GQ84" s="28">
        <v>265.58707516843981</v>
      </c>
      <c r="GR84" s="29">
        <v>160.6213599808068</v>
      </c>
      <c r="GS84" s="28">
        <v>265.67382352263314</v>
      </c>
      <c r="GT84" s="29">
        <v>160.67382352263314</v>
      </c>
    </row>
    <row r="85" spans="19:202" x14ac:dyDescent="0.25">
      <c r="BS85" s="28">
        <v>248.94229584505268</v>
      </c>
      <c r="BT85" s="29">
        <v>146.14770985097215</v>
      </c>
      <c r="BU85" s="28">
        <v>249.0236075370465</v>
      </c>
      <c r="BV85" s="29">
        <v>146.19544588364866</v>
      </c>
      <c r="BW85" s="28">
        <v>249.10494578777067</v>
      </c>
      <c r="BX85" s="29">
        <v>146.24319750828224</v>
      </c>
      <c r="BY85" s="28">
        <v>249.18631060589968</v>
      </c>
      <c r="BZ85" s="29">
        <v>146.29096472996565</v>
      </c>
      <c r="CA85" s="28">
        <v>249.26770200011151</v>
      </c>
      <c r="CB85" s="29">
        <v>146.33874318789844</v>
      </c>
      <c r="CC85" s="28">
        <v>249.34911997908642</v>
      </c>
      <c r="CD85" s="29">
        <v>146.38653781320991</v>
      </c>
      <c r="CE85" s="28">
        <v>249.43056455150764</v>
      </c>
      <c r="CF85" s="29">
        <v>146.43434852533531</v>
      </c>
      <c r="CG85" s="28">
        <v>249.51203572606178</v>
      </c>
      <c r="CH85" s="29">
        <v>146.4821752341505</v>
      </c>
      <c r="CI85" s="28">
        <v>249.59353351143773</v>
      </c>
      <c r="CJ85" s="29">
        <v>146.53001803222347</v>
      </c>
      <c r="CK85" s="28">
        <v>249.67505791632695</v>
      </c>
      <c r="CL85" s="29">
        <v>146.57787686384728</v>
      </c>
      <c r="CM85" s="28">
        <v>249.75660894942456</v>
      </c>
      <c r="CN85" s="29">
        <v>146.62575167987646</v>
      </c>
      <c r="CO85" s="28">
        <v>249.83818661942806</v>
      </c>
      <c r="CP85" s="29">
        <v>146.67364243835476</v>
      </c>
      <c r="CQ85" s="28">
        <v>249.91979093503775</v>
      </c>
      <c r="CR85" s="29">
        <v>146.72154909930552</v>
      </c>
      <c r="CS85" s="28">
        <v>250.00142190495677</v>
      </c>
      <c r="CT85" s="29">
        <v>146.76947162786706</v>
      </c>
      <c r="CU85" s="28">
        <v>250.08307953789117</v>
      </c>
      <c r="CV85" s="29">
        <v>146.81740999393745</v>
      </c>
      <c r="CW85" s="28">
        <v>250.16476384255014</v>
      </c>
      <c r="CX85" s="29">
        <v>146.86536417178874</v>
      </c>
      <c r="CY85" s="28">
        <v>250.2464748276451</v>
      </c>
      <c r="CZ85" s="29">
        <v>146.91333413976417</v>
      </c>
      <c r="DA85" s="28">
        <v>250.32821250189082</v>
      </c>
      <c r="DB85" s="29">
        <v>146.96131987992732</v>
      </c>
      <c r="DC85" s="28">
        <v>250.40997687400466</v>
      </c>
      <c r="DD85" s="29">
        <v>147.00932137771335</v>
      </c>
      <c r="DE85" s="28">
        <v>250.49176795270699</v>
      </c>
      <c r="DF85" s="29">
        <v>147.05733862158971</v>
      </c>
      <c r="DG85" s="28">
        <v>250.57358574672077</v>
      </c>
      <c r="DH85" s="29">
        <v>147.10537160272662</v>
      </c>
      <c r="DI85" s="28">
        <v>250.65543026477212</v>
      </c>
      <c r="DJ85" s="29">
        <v>147.15342031468174</v>
      </c>
      <c r="DK85" s="28">
        <v>250.73730151559002</v>
      </c>
      <c r="DL85" s="29">
        <v>147.20148475309978</v>
      </c>
      <c r="DM85" s="28">
        <v>250.81919950790606</v>
      </c>
      <c r="DN85" s="29">
        <v>147.24956491543054</v>
      </c>
      <c r="DO85" s="28">
        <v>250.9011242504545</v>
      </c>
      <c r="DP85" s="29">
        <v>147.29766080066702</v>
      </c>
      <c r="DQ85" s="28">
        <v>250.98307575197322</v>
      </c>
      <c r="DR85" s="29">
        <v>147.34577240910619</v>
      </c>
      <c r="DS85" s="28">
        <v>251.06505402120195</v>
      </c>
      <c r="DT85" s="29">
        <v>147.39389974212949</v>
      </c>
      <c r="DU85" s="28">
        <v>251.14705906688417</v>
      </c>
      <c r="DV85" s="29">
        <v>147.44204280201001</v>
      </c>
      <c r="DW85" s="28">
        <v>251.22909089776573</v>
      </c>
      <c r="DX85" s="29">
        <v>147.49020159174023</v>
      </c>
      <c r="DY85" s="28">
        <v>251.31114952259549</v>
      </c>
      <c r="DZ85" s="29">
        <v>147.53837611488379</v>
      </c>
      <c r="EA85" s="28">
        <v>251.39323495012502</v>
      </c>
      <c r="EB85" s="29">
        <v>147.58656637544925</v>
      </c>
      <c r="EC85" s="28">
        <v>251.47534718910887</v>
      </c>
      <c r="ED85" s="29">
        <v>147.63477237778469</v>
      </c>
      <c r="EE85" s="28">
        <v>251.55748624830449</v>
      </c>
      <c r="EF85" s="29">
        <v>147.68299412649111</v>
      </c>
      <c r="EG85" s="28">
        <v>251.63965213647217</v>
      </c>
      <c r="EH85" s="29">
        <v>147.73123162635372</v>
      </c>
      <c r="EI85" s="28">
        <v>251.72184486237481</v>
      </c>
      <c r="EJ85" s="29">
        <v>147.77948488228759</v>
      </c>
      <c r="EK85" s="28">
        <v>251.80406443477858</v>
      </c>
      <c r="EL85" s="29">
        <v>147.82775389929756</v>
      </c>
      <c r="EM85" s="28">
        <v>251.88631086245243</v>
      </c>
      <c r="EN85" s="29">
        <v>147.87603868244793</v>
      </c>
      <c r="EO85" s="28">
        <v>251.96858415416764</v>
      </c>
      <c r="EP85" s="29">
        <v>147.92433923684055</v>
      </c>
      <c r="EQ85" s="28">
        <v>252.05088431869913</v>
      </c>
      <c r="ER85" s="29">
        <v>147.97265556760186</v>
      </c>
      <c r="ES85" s="28">
        <v>252.13321136482432</v>
      </c>
      <c r="ET85" s="29">
        <v>148.02098767987209</v>
      </c>
      <c r="EU85" s="28">
        <v>252.21556530132335</v>
      </c>
      <c r="EV85" s="29">
        <v>148.06933557879998</v>
      </c>
      <c r="EW85" s="28">
        <v>252.29794613697928</v>
      </c>
      <c r="EX85" s="29">
        <v>148.11769926953917</v>
      </c>
      <c r="EY85" s="28">
        <v>252.38035388057861</v>
      </c>
      <c r="EZ85" s="29">
        <v>148.16607875724728</v>
      </c>
      <c r="FA85" s="28">
        <v>252.46278854090977</v>
      </c>
      <c r="FB85" s="29">
        <v>148.2144740470832</v>
      </c>
      <c r="FC85" s="28">
        <v>252.54525012676481</v>
      </c>
      <c r="FD85" s="29">
        <v>148.26288514420855</v>
      </c>
      <c r="FE85" s="28">
        <v>252.62773864693824</v>
      </c>
      <c r="FF85" s="29">
        <v>148.31131205378637</v>
      </c>
      <c r="FG85" s="28">
        <v>252.71025411022757</v>
      </c>
      <c r="FH85" s="29">
        <v>148.35975478098138</v>
      </c>
      <c r="FI85" s="28">
        <v>252.79279652543337</v>
      </c>
      <c r="FJ85" s="29">
        <v>148.40821333096022</v>
      </c>
      <c r="FK85" s="28">
        <v>252.87536590135886</v>
      </c>
      <c r="FL85" s="29">
        <v>148.45668770889111</v>
      </c>
      <c r="FM85" s="28">
        <v>252.95796224681004</v>
      </c>
      <c r="FN85" s="29">
        <v>148.50517791994363</v>
      </c>
      <c r="FO85" s="28">
        <v>253.04058557059605</v>
      </c>
      <c r="FP85" s="29">
        <v>148.55368396928955</v>
      </c>
      <c r="FQ85" s="28">
        <v>253.12323588152859</v>
      </c>
      <c r="FR85" s="29">
        <v>148.6022058621019</v>
      </c>
      <c r="FS85" s="28">
        <v>253.20591318842281</v>
      </c>
      <c r="FT85" s="29">
        <v>148.65074360355595</v>
      </c>
      <c r="FU85" s="28">
        <v>253.28861750009614</v>
      </c>
      <c r="FV85" s="29">
        <v>148.69929719882813</v>
      </c>
      <c r="FW85" s="28">
        <v>253.37134882536895</v>
      </c>
      <c r="FX85" s="29">
        <v>148.74786665309659</v>
      </c>
      <c r="FY85" s="28">
        <v>253.45410717306498</v>
      </c>
      <c r="FZ85" s="29">
        <v>148.79645197154164</v>
      </c>
      <c r="GA85" s="28">
        <v>253.53689255201039</v>
      </c>
      <c r="GB85" s="29">
        <v>148.84505315934479</v>
      </c>
      <c r="GC85" s="28">
        <v>253.61970497103428</v>
      </c>
      <c r="GD85" s="29">
        <v>148.89367022168943</v>
      </c>
      <c r="GE85" s="28">
        <v>253.7025444389688</v>
      </c>
      <c r="GF85" s="29">
        <v>148.9423031637607</v>
      </c>
      <c r="GG85" s="28">
        <v>253.78541096464883</v>
      </c>
      <c r="GH85" s="29">
        <v>148.99095199074532</v>
      </c>
      <c r="GI85" s="28">
        <v>253.86830455691228</v>
      </c>
      <c r="GJ85" s="29">
        <v>149.03961670783175</v>
      </c>
      <c r="GK85" s="28">
        <v>253.95122522459991</v>
      </c>
      <c r="GL85" s="29">
        <v>149.08829732021033</v>
      </c>
      <c r="GM85" s="28">
        <v>254.03417297655525</v>
      </c>
      <c r="GN85" s="29">
        <v>149.13699383307269</v>
      </c>
      <c r="GO85" s="28">
        <v>254.11714782162485</v>
      </c>
      <c r="GP85" s="29">
        <v>149.18570625161254</v>
      </c>
      <c r="GQ85" s="28">
        <v>254.20014976865801</v>
      </c>
      <c r="GR85" s="29">
        <v>149.234434581025</v>
      </c>
      <c r="GS85" s="28">
        <v>254.28317882650708</v>
      </c>
      <c r="GT85" s="29">
        <v>149.28317882650708</v>
      </c>
    </row>
    <row r="86" spans="19:202" x14ac:dyDescent="0.25">
      <c r="BM86" s="28">
        <v>238.03568377708606</v>
      </c>
      <c r="BN86" s="29">
        <v>135.34187513384043</v>
      </c>
      <c r="BO86" s="28">
        <v>238.1134330568425</v>
      </c>
      <c r="BP86" s="29">
        <v>135.38608167105184</v>
      </c>
      <c r="BQ86" s="28">
        <v>238.19120773174305</v>
      </c>
      <c r="BR86" s="29">
        <v>135.4303026473859</v>
      </c>
      <c r="BS86" s="28">
        <v>238.26900781008254</v>
      </c>
      <c r="BT86" s="29">
        <v>135.47451961679749</v>
      </c>
      <c r="BU86" s="28">
        <v>238.34683330015829</v>
      </c>
      <c r="BV86" s="29">
        <v>135.51875277549877</v>
      </c>
      <c r="BW86" s="28">
        <v>238.4246842102709</v>
      </c>
      <c r="BX86" s="29">
        <v>135.56300185756618</v>
      </c>
      <c r="BY86" s="28">
        <v>238.50256054872287</v>
      </c>
      <c r="BZ86" s="29">
        <v>135.60726651976202</v>
      </c>
      <c r="CA86" s="28">
        <v>238.5804623238202</v>
      </c>
      <c r="CB86" s="29">
        <v>135.65154740060757</v>
      </c>
      <c r="CC86" s="28">
        <v>238.65838954387095</v>
      </c>
      <c r="CD86" s="29">
        <v>135.69584433510909</v>
      </c>
      <c r="CE86" s="28">
        <v>238.73634221718603</v>
      </c>
      <c r="CF86" s="29">
        <v>135.74015717432735</v>
      </c>
      <c r="CG86" s="28">
        <v>238.81432035207968</v>
      </c>
      <c r="CH86" s="29">
        <v>135.78448579259174</v>
      </c>
      <c r="CI86" s="28">
        <v>238.89232395686821</v>
      </c>
      <c r="CJ86" s="29">
        <v>135.82883005021515</v>
      </c>
      <c r="CK86" s="28">
        <v>238.97035303987045</v>
      </c>
      <c r="CL86" s="29">
        <v>135.87318981847932</v>
      </c>
      <c r="CM86" s="28">
        <v>239.04840760940871</v>
      </c>
      <c r="CN86" s="29">
        <v>135.91756497925709</v>
      </c>
      <c r="CO86" s="28">
        <v>239.12648767380762</v>
      </c>
      <c r="CP86" s="29">
        <v>135.96195542428089</v>
      </c>
      <c r="CQ86" s="28">
        <v>239.20459324139443</v>
      </c>
      <c r="CR86" s="29">
        <v>136.00636105535762</v>
      </c>
      <c r="CS86" s="28">
        <v>239.28272432049914</v>
      </c>
      <c r="CT86" s="29">
        <v>136.05078178397844</v>
      </c>
      <c r="CU86" s="28">
        <v>239.36088091945456</v>
      </c>
      <c r="CV86" s="29">
        <v>136.09521753089473</v>
      </c>
      <c r="CW86" s="28">
        <v>239.43906304659643</v>
      </c>
      <c r="CX86" s="29">
        <v>136.13966822567099</v>
      </c>
      <c r="CY86" s="28">
        <v>239.51727071026272</v>
      </c>
      <c r="CZ86" s="29">
        <v>136.18413380620058</v>
      </c>
      <c r="DA86" s="28">
        <v>239.59550391879452</v>
      </c>
      <c r="DB86" s="29">
        <v>136.22861421819957</v>
      </c>
      <c r="DC86" s="28">
        <v>239.67376268053545</v>
      </c>
      <c r="DD86" s="29">
        <v>136.27310941468053</v>
      </c>
      <c r="DE86" s="28">
        <v>239.75204700383199</v>
      </c>
      <c r="DF86" s="29">
        <v>136.31761935541343</v>
      </c>
      <c r="DG86" s="28">
        <v>239.83035689703314</v>
      </c>
      <c r="DH86" s="29">
        <v>136.36214400637803</v>
      </c>
      <c r="DI86" s="28">
        <v>239.90869236849088</v>
      </c>
      <c r="DJ86" s="29">
        <v>136.40668333921423</v>
      </c>
      <c r="DK86" s="28">
        <v>239.9870534265599</v>
      </c>
      <c r="DL86" s="29">
        <v>136.45123733067518</v>
      </c>
      <c r="DM86" s="28">
        <v>240.06544007959747</v>
      </c>
      <c r="DN86" s="29">
        <v>136.49580596208992</v>
      </c>
      <c r="DO86" s="28">
        <v>240.14385233596335</v>
      </c>
      <c r="DP86" s="29">
        <v>136.5403892188406</v>
      </c>
      <c r="DQ86" s="28">
        <v>240.22229020402077</v>
      </c>
      <c r="DR86" s="29">
        <v>136.58498708986133</v>
      </c>
      <c r="DS86" s="28">
        <v>240.3007536921348</v>
      </c>
      <c r="DT86" s="29">
        <v>136.62959956715977</v>
      </c>
      <c r="DU86" s="28">
        <v>240.37924280867404</v>
      </c>
      <c r="DV86" s="29">
        <v>136.67422664537193</v>
      </c>
      <c r="DW86" s="28">
        <v>240.45775756200931</v>
      </c>
      <c r="DX86" s="29">
        <v>136.71886832134743</v>
      </c>
      <c r="DY86" s="28">
        <v>240.53629796051442</v>
      </c>
      <c r="DZ86" s="29">
        <v>136.76352459377404</v>
      </c>
      <c r="EA86" s="28">
        <v>240.6148640125657</v>
      </c>
      <c r="EB86" s="29">
        <v>136.80819546283919</v>
      </c>
      <c r="EC86" s="28">
        <v>240.69345572654237</v>
      </c>
      <c r="ED86" s="29">
        <v>136.8528809299327</v>
      </c>
      <c r="EE86" s="28">
        <v>240.77207311082637</v>
      </c>
      <c r="EF86" s="29">
        <v>136.89758099738853</v>
      </c>
      <c r="EG86" s="28">
        <v>240.85071617380243</v>
      </c>
      <c r="EH86" s="29">
        <v>136.94229566826593</v>
      </c>
      <c r="EI86" s="28">
        <v>240.92938492385773</v>
      </c>
      <c r="EJ86" s="29">
        <v>136.98702494616779</v>
      </c>
      <c r="EK86" s="28">
        <v>241.00807936938261</v>
      </c>
      <c r="EL86" s="29">
        <v>137.0317688350942</v>
      </c>
      <c r="EM86" s="28">
        <v>241.08679951877002</v>
      </c>
      <c r="EN86" s="29">
        <v>137.07652733932559</v>
      </c>
      <c r="EO86" s="28">
        <v>241.16554538041524</v>
      </c>
      <c r="EP86" s="29">
        <v>137.12130046333428</v>
      </c>
      <c r="EQ86" s="28">
        <v>241.24431696271691</v>
      </c>
      <c r="ER86" s="29">
        <v>137.16608821171974</v>
      </c>
      <c r="ES86" s="28">
        <v>241.32311427407612</v>
      </c>
      <c r="ET86" s="29">
        <v>137.2108905891611</v>
      </c>
      <c r="EU86" s="28">
        <v>241.4019373228966</v>
      </c>
      <c r="EV86" s="29">
        <v>137.25570760038559</v>
      </c>
      <c r="EW86" s="28">
        <v>241.48078611758484</v>
      </c>
      <c r="EX86" s="29">
        <v>137.30053925014832</v>
      </c>
      <c r="EY86" s="28">
        <v>241.5596606665506</v>
      </c>
      <c r="EZ86" s="29">
        <v>137.34538554322012</v>
      </c>
      <c r="FA86" s="28">
        <v>241.63856097820553</v>
      </c>
      <c r="FB86" s="29">
        <v>137.39024648437911</v>
      </c>
      <c r="FC86" s="28">
        <v>241.71748706096471</v>
      </c>
      <c r="FD86" s="29">
        <v>137.43512207840851</v>
      </c>
      <c r="FE86" s="28">
        <v>241.7964389232456</v>
      </c>
      <c r="FF86" s="29">
        <v>137.48001233009373</v>
      </c>
      <c r="FG86" s="28">
        <v>241.8754165734685</v>
      </c>
      <c r="FH86" s="29">
        <v>137.52491724422225</v>
      </c>
      <c r="FI86" s="28">
        <v>241.95442002005669</v>
      </c>
      <c r="FJ86" s="29">
        <v>137.56983682558354</v>
      </c>
      <c r="FK86" s="28">
        <v>242.03344927143593</v>
      </c>
      <c r="FL86" s="29">
        <v>137.61477107896815</v>
      </c>
      <c r="FM86" s="28">
        <v>242.11250433603468</v>
      </c>
      <c r="FN86" s="29">
        <v>137.65972000916824</v>
      </c>
      <c r="FO86" s="28">
        <v>242.19158522228437</v>
      </c>
      <c r="FP86" s="29">
        <v>137.70468362097787</v>
      </c>
      <c r="FQ86" s="28">
        <v>242.27069193861894</v>
      </c>
      <c r="FR86" s="29">
        <v>137.74966191919228</v>
      </c>
      <c r="FS86" s="28">
        <v>242.34982449347558</v>
      </c>
      <c r="FT86" s="29">
        <v>137.79465490860875</v>
      </c>
      <c r="FU86" s="28">
        <v>242.42898289529367</v>
      </c>
      <c r="FV86" s="29">
        <v>137.8396625940257</v>
      </c>
      <c r="FW86" s="28">
        <v>242.50816715251543</v>
      </c>
      <c r="FX86" s="29">
        <v>137.88468498024307</v>
      </c>
      <c r="FY86" s="28">
        <v>242.58737727358624</v>
      </c>
      <c r="FZ86" s="29">
        <v>137.92972207206287</v>
      </c>
      <c r="GA86" s="28">
        <v>242.66661326695387</v>
      </c>
      <c r="GB86" s="29">
        <v>137.9747738742883</v>
      </c>
      <c r="GC86" s="28">
        <v>242.74587514106889</v>
      </c>
      <c r="GD86" s="29">
        <v>138.01984039172413</v>
      </c>
      <c r="GE86" s="28">
        <v>242.82516290438477</v>
      </c>
      <c r="GF86" s="29">
        <v>138.06492162917675</v>
      </c>
      <c r="GG86" s="28">
        <v>242.90447656535758</v>
      </c>
      <c r="GH86" s="29">
        <v>138.11001759145412</v>
      </c>
      <c r="GI86" s="28">
        <v>242.98381613244635</v>
      </c>
      <c r="GJ86" s="29">
        <v>138.15512828336594</v>
      </c>
      <c r="GK86" s="28">
        <v>243.06318161411275</v>
      </c>
      <c r="GL86" s="29">
        <v>138.20025370972323</v>
      </c>
      <c r="GM86" s="28">
        <v>243.14257301882117</v>
      </c>
      <c r="GN86" s="29">
        <v>138.24539387533864</v>
      </c>
      <c r="GO86" s="28">
        <v>243.22199035503883</v>
      </c>
      <c r="GP86" s="29">
        <v>138.29054878502654</v>
      </c>
      <c r="GQ86" s="28">
        <v>243.30143363123568</v>
      </c>
      <c r="GR86" s="29">
        <v>138.33571844360264</v>
      </c>
      <c r="GS86" s="28">
        <v>243.3809028558845</v>
      </c>
      <c r="GT86" s="29">
        <v>138.3809028558845</v>
      </c>
    </row>
    <row r="87" spans="19:202" x14ac:dyDescent="0.25">
      <c r="BG87" s="28">
        <v>227.60691010294221</v>
      </c>
      <c r="BH87" s="29">
        <v>125.01406113543605</v>
      </c>
      <c r="BI87" s="28">
        <v>227.68125304618198</v>
      </c>
      <c r="BJ87" s="29">
        <v>125.05489431245587</v>
      </c>
      <c r="BK87" s="28">
        <v>227.75562027195869</v>
      </c>
      <c r="BL87" s="29">
        <v>125.09574082676215</v>
      </c>
      <c r="BM87" s="28">
        <v>227.83001178820373</v>
      </c>
      <c r="BN87" s="29">
        <v>125.13654218738716</v>
      </c>
      <c r="BO87" s="28">
        <v>227.90442760285117</v>
      </c>
      <c r="BP87" s="29">
        <v>125.17736023142174</v>
      </c>
      <c r="BQ87" s="28">
        <v>227.97886772383745</v>
      </c>
      <c r="BR87" s="29">
        <v>125.21819381360226</v>
      </c>
      <c r="BS87" s="28">
        <v>228.05333215910173</v>
      </c>
      <c r="BT87" s="29">
        <v>125.25904588747552</v>
      </c>
      <c r="BU87" s="28">
        <v>228.12782091658562</v>
      </c>
      <c r="BV87" s="29">
        <v>125.29991610209179</v>
      </c>
      <c r="BW87" s="28">
        <v>228.20233400423379</v>
      </c>
      <c r="BX87" s="29">
        <v>125.34080414940622</v>
      </c>
      <c r="BY87" s="28">
        <v>228.27687142999284</v>
      </c>
      <c r="BZ87" s="29">
        <v>125.38170980613837</v>
      </c>
      <c r="CA87" s="28">
        <v>228.3514332018126</v>
      </c>
      <c r="CB87" s="29">
        <v>125.42263273178006</v>
      </c>
      <c r="CC87" s="28">
        <v>228.42601932764492</v>
      </c>
      <c r="CD87" s="29">
        <v>125.46357260191307</v>
      </c>
      <c r="CE87" s="28">
        <v>228.50062981544443</v>
      </c>
      <c r="CF87" s="29">
        <v>125.50452910759199</v>
      </c>
      <c r="CG87" s="28">
        <v>228.57526467316887</v>
      </c>
      <c r="CH87" s="29">
        <v>125.54550195224621</v>
      </c>
      <c r="CI87" s="28">
        <v>228.64992390877799</v>
      </c>
      <c r="CJ87" s="29">
        <v>125.58649085592845</v>
      </c>
      <c r="CK87" s="28">
        <v>228.72460753023398</v>
      </c>
      <c r="CL87" s="29">
        <v>125.62749555537867</v>
      </c>
      <c r="CM87" s="28">
        <v>228.79931554550231</v>
      </c>
      <c r="CN87" s="29">
        <v>125.66851580402972</v>
      </c>
      <c r="CO87" s="28">
        <v>228.87404796255069</v>
      </c>
      <c r="CP87" s="29">
        <v>125.70955137203578</v>
      </c>
      <c r="CQ87" s="28">
        <v>228.94880478934937</v>
      </c>
      <c r="CR87" s="29">
        <v>125.75060204613403</v>
      </c>
      <c r="CS87" s="28">
        <v>229.02358603387117</v>
      </c>
      <c r="CT87" s="29">
        <v>125.79166762942965</v>
      </c>
      <c r="CU87" s="28">
        <v>229.09839170409168</v>
      </c>
      <c r="CV87" s="29">
        <v>125.83274794110353</v>
      </c>
      <c r="CW87" s="28">
        <v>229.17322180798919</v>
      </c>
      <c r="CX87" s="29">
        <v>125.87384281604211</v>
      </c>
      <c r="CY87" s="28">
        <v>229.24807635354426</v>
      </c>
      <c r="CZ87" s="29">
        <v>125.91495210439111</v>
      </c>
      <c r="DA87" s="28">
        <v>229.32295534874029</v>
      </c>
      <c r="DB87" s="29">
        <v>125.95607567103791</v>
      </c>
      <c r="DC87" s="28">
        <v>229.39785880156319</v>
      </c>
      <c r="DD87" s="29">
        <v>125.99721339502385</v>
      </c>
      <c r="DE87" s="28">
        <v>229.47278672000161</v>
      </c>
      <c r="DF87" s="29">
        <v>126.03836516889326</v>
      </c>
      <c r="DG87" s="28">
        <v>229.54773911204657</v>
      </c>
      <c r="DH87" s="29">
        <v>126.07953089798346</v>
      </c>
      <c r="DI87" s="28">
        <v>229.62271598569197</v>
      </c>
      <c r="DJ87" s="29">
        <v>126.12071049966478</v>
      </c>
      <c r="DK87" s="28">
        <v>229.6977173489343</v>
      </c>
      <c r="DL87" s="29">
        <v>126.16190390253705</v>
      </c>
      <c r="DM87" s="28">
        <v>229.7727432097725</v>
      </c>
      <c r="DN87" s="29">
        <v>126.20311104559219</v>
      </c>
      <c r="DO87" s="28">
        <v>229.84779357620795</v>
      </c>
      <c r="DP87" s="29">
        <v>126.24433187735417</v>
      </c>
      <c r="DQ87" s="28">
        <v>229.92286845624525</v>
      </c>
      <c r="DR87" s="29">
        <v>126.28556635500613</v>
      </c>
      <c r="DS87" s="28">
        <v>229.99796785789087</v>
      </c>
      <c r="DT87" s="29">
        <v>126.32681444351445</v>
      </c>
      <c r="DU87" s="28">
        <v>230.07309178915457</v>
      </c>
      <c r="DV87" s="29">
        <v>126.36807611476533</v>
      </c>
      <c r="DW87" s="28">
        <v>230.1482402580483</v>
      </c>
      <c r="DX87" s="29">
        <v>126.40935134672023</v>
      </c>
      <c r="DY87" s="28">
        <v>230.22341327258687</v>
      </c>
      <c r="DZ87" s="29">
        <v>126.45064012260551</v>
      </c>
      <c r="EA87" s="28">
        <v>230.29861084078743</v>
      </c>
      <c r="EB87" s="29">
        <v>126.49194243014327</v>
      </c>
      <c r="EC87" s="28">
        <v>230.37383297066998</v>
      </c>
      <c r="ED87" s="29">
        <v>126.53325826083531</v>
      </c>
      <c r="EE87" s="28">
        <v>230.44907967025708</v>
      </c>
      <c r="EF87" s="29">
        <v>126.57458760930537</v>
      </c>
      <c r="EG87" s="28">
        <v>230.52435094757394</v>
      </c>
      <c r="EH87" s="29">
        <v>126.61593047270721</v>
      </c>
      <c r="EI87" s="28">
        <v>230.59964681064818</v>
      </c>
      <c r="EJ87" s="29">
        <v>126.65728685020143</v>
      </c>
      <c r="EK87" s="28">
        <v>230.6749672675104</v>
      </c>
      <c r="EL87" s="29">
        <v>126.69865674250435</v>
      </c>
      <c r="EM87" s="28">
        <v>230.75031232619369</v>
      </c>
      <c r="EN87" s="29">
        <v>126.74004015150602</v>
      </c>
      <c r="EO87" s="28">
        <v>230.8256819947334</v>
      </c>
      <c r="EP87" s="29">
        <v>126.78143707995655</v>
      </c>
      <c r="EQ87" s="28">
        <v>230.90107628116809</v>
      </c>
      <c r="ER87" s="29">
        <v>126.82284753121668</v>
      </c>
      <c r="ES87" s="28">
        <v>230.97649519353863</v>
      </c>
      <c r="ET87" s="29">
        <v>126.86427150906343</v>
      </c>
      <c r="EU87" s="28">
        <v>231.05193873988847</v>
      </c>
      <c r="EV87" s="29">
        <v>126.90570901754649</v>
      </c>
      <c r="EW87" s="28">
        <v>231.12740692826367</v>
      </c>
      <c r="EX87" s="29">
        <v>126.94716006088541</v>
      </c>
      <c r="EY87" s="28">
        <v>231.20289976671341</v>
      </c>
      <c r="EZ87" s="29">
        <v>126.9886246434005</v>
      </c>
      <c r="FA87" s="28">
        <v>231.2784172632887</v>
      </c>
      <c r="FB87" s="29">
        <v>127.03010276946677</v>
      </c>
      <c r="FC87" s="28">
        <v>231.35395942604384</v>
      </c>
      <c r="FD87" s="29">
        <v>127.07159444348856</v>
      </c>
      <c r="FE87" s="28">
        <v>231.4295262630354</v>
      </c>
      <c r="FF87" s="29">
        <v>127.11309966988371</v>
      </c>
      <c r="FG87" s="28">
        <v>231.50511778232266</v>
      </c>
      <c r="FH87" s="29">
        <v>127.15461845307652</v>
      </c>
      <c r="FI87" s="28">
        <v>231.58073399196772</v>
      </c>
      <c r="FJ87" s="29">
        <v>127.19615079749464</v>
      </c>
      <c r="FK87" s="28">
        <v>231.65637490003513</v>
      </c>
      <c r="FL87" s="29">
        <v>127.23769670756742</v>
      </c>
      <c r="FM87" s="28">
        <v>231.73204051459197</v>
      </c>
      <c r="FN87" s="29">
        <v>127.27925618772561</v>
      </c>
      <c r="FO87" s="28">
        <v>231.80773084370819</v>
      </c>
      <c r="FP87" s="29">
        <v>127.32082924240173</v>
      </c>
      <c r="FQ87" s="28">
        <v>231.88344589545608</v>
      </c>
      <c r="FR87" s="29">
        <v>127.36241587602939</v>
      </c>
      <c r="FS87" s="28">
        <v>231.95918567791114</v>
      </c>
      <c r="FT87" s="29">
        <v>127.40401609304429</v>
      </c>
      <c r="FU87" s="28">
        <v>232.0349501991509</v>
      </c>
      <c r="FV87" s="29">
        <v>127.44562989788291</v>
      </c>
      <c r="FW87" s="28">
        <v>232.11073946725563</v>
      </c>
      <c r="FX87" s="29">
        <v>127.48725729498329</v>
      </c>
      <c r="FY87" s="28">
        <v>232.18655349030863</v>
      </c>
      <c r="FZ87" s="29">
        <v>127.52889828878531</v>
      </c>
      <c r="GA87" s="28">
        <v>232.26239227639542</v>
      </c>
      <c r="GB87" s="29">
        <v>127.5705528837299</v>
      </c>
      <c r="GC87" s="28">
        <v>232.33825583360431</v>
      </c>
      <c r="GD87" s="29">
        <v>127.61222108425959</v>
      </c>
      <c r="GE87" s="28">
        <v>232.4141441700263</v>
      </c>
      <c r="GF87" s="29">
        <v>127.65390289481832</v>
      </c>
      <c r="GG87" s="28">
        <v>232.49005729375494</v>
      </c>
      <c r="GH87" s="29">
        <v>127.6955983198515</v>
      </c>
      <c r="GI87" s="28">
        <v>232.56599521288658</v>
      </c>
      <c r="GJ87" s="29">
        <v>127.73730736380615</v>
      </c>
      <c r="GK87" s="28">
        <v>232.64195793552008</v>
      </c>
      <c r="GL87" s="29">
        <v>127.77903003113055</v>
      </c>
      <c r="GM87" s="28">
        <v>232.7179454697569</v>
      </c>
      <c r="GN87" s="29">
        <v>127.82076632627437</v>
      </c>
      <c r="GO87" s="28">
        <v>232.79395782370131</v>
      </c>
      <c r="GP87" s="29">
        <v>127.86251625368898</v>
      </c>
      <c r="GQ87" s="28">
        <v>232.86999500546003</v>
      </c>
      <c r="GR87" s="29">
        <v>127.904279817827</v>
      </c>
      <c r="GS87" s="28">
        <v>232.94605702314263</v>
      </c>
      <c r="GT87" s="29">
        <v>127.94605702314263</v>
      </c>
    </row>
    <row r="88" spans="19:202" x14ac:dyDescent="0.25">
      <c r="BA88" s="28">
        <v>217.63503985865691</v>
      </c>
      <c r="BB88" s="29">
        <v>115.1438615590106</v>
      </c>
      <c r="BC88" s="28">
        <v>217.70612570314157</v>
      </c>
      <c r="BD88" s="29">
        <v>115.18147084583067</v>
      </c>
      <c r="BE88" s="28">
        <v>217.77723476630132</v>
      </c>
      <c r="BF88" s="29">
        <v>115.21909241692224</v>
      </c>
      <c r="BG88" s="28">
        <v>217.84836705572005</v>
      </c>
      <c r="BH88" s="29">
        <v>115.25656855592153</v>
      </c>
      <c r="BI88" s="28">
        <v>217.91952257898416</v>
      </c>
      <c r="BJ88" s="29">
        <v>115.29406215879311</v>
      </c>
      <c r="BK88" s="28">
        <v>217.99070134368245</v>
      </c>
      <c r="BL88" s="29">
        <v>115.33156997521637</v>
      </c>
      <c r="BM88" s="28">
        <v>218.06190335740624</v>
      </c>
      <c r="BN88" s="29">
        <v>115.36910165582958</v>
      </c>
      <c r="BO88" s="28">
        <v>218.13312862774944</v>
      </c>
      <c r="BP88" s="29">
        <v>115.4066567825855</v>
      </c>
      <c r="BQ88" s="28">
        <v>218.20437716230825</v>
      </c>
      <c r="BR88" s="29">
        <v>115.44423525457728</v>
      </c>
      <c r="BS88" s="28">
        <v>218.27564896868139</v>
      </c>
      <c r="BT88" s="29">
        <v>115.48183644344321</v>
      </c>
      <c r="BU88" s="28">
        <v>218.34694405447004</v>
      </c>
      <c r="BV88" s="29">
        <v>115.51945973652191</v>
      </c>
      <c r="BW88" s="28">
        <v>218.41826242727819</v>
      </c>
      <c r="BX88" s="29">
        <v>115.557104532913</v>
      </c>
      <c r="BY88" s="28">
        <v>218.48960409471175</v>
      </c>
      <c r="BZ88" s="29">
        <v>115.59477022595135</v>
      </c>
      <c r="CA88" s="28">
        <v>218.56096906437972</v>
      </c>
      <c r="CB88" s="29">
        <v>115.63245622582841</v>
      </c>
      <c r="CC88" s="28">
        <v>218.63235734389301</v>
      </c>
      <c r="CD88" s="29">
        <v>115.67016196042542</v>
      </c>
      <c r="CE88" s="28">
        <v>218.70376894086519</v>
      </c>
      <c r="CF88" s="29">
        <v>115.70788687619775</v>
      </c>
      <c r="CG88" s="28">
        <v>218.77520386291283</v>
      </c>
      <c r="CH88" s="29">
        <v>115.7456304397672</v>
      </c>
      <c r="CI88" s="28">
        <v>218.84666211765438</v>
      </c>
      <c r="CJ88" s="29">
        <v>115.78339213878158</v>
      </c>
      <c r="CK88" s="28">
        <v>218.91814371271067</v>
      </c>
      <c r="CL88" s="29">
        <v>115.82117148270825</v>
      </c>
      <c r="CM88" s="28">
        <v>218.98964865570568</v>
      </c>
      <c r="CN88" s="29">
        <v>115.85896800355196</v>
      </c>
      <c r="CO88" s="28">
        <v>219.06117695426548</v>
      </c>
      <c r="CP88" s="29">
        <v>115.89678125646458</v>
      </c>
      <c r="CQ88" s="28">
        <v>219.1327286160186</v>
      </c>
      <c r="CR88" s="29">
        <v>115.9346108202562</v>
      </c>
      <c r="CS88" s="28">
        <v>219.20430364859604</v>
      </c>
      <c r="CT88" s="29">
        <v>115.97245629779732</v>
      </c>
      <c r="CU88" s="28">
        <v>219.27590205963145</v>
      </c>
      <c r="CV88" s="29">
        <v>116.01031731630432</v>
      </c>
      <c r="CW88" s="28">
        <v>219.34752385676103</v>
      </c>
      <c r="CX88" s="29">
        <v>116.04819352750106</v>
      </c>
      <c r="CY88" s="28">
        <v>219.41916904762317</v>
      </c>
      <c r="CZ88" s="29">
        <v>116.08608460765006</v>
      </c>
      <c r="DA88" s="28">
        <v>219.49083763985902</v>
      </c>
      <c r="DB88" s="29">
        <v>116.1239902574499</v>
      </c>
      <c r="DC88" s="28">
        <v>219.56252964111206</v>
      </c>
      <c r="DD88" s="29">
        <v>116.16191020179211</v>
      </c>
      <c r="DE88" s="28">
        <v>219.63424505902847</v>
      </c>
      <c r="DF88" s="29">
        <v>116.19984418937844</v>
      </c>
      <c r="DG88" s="28">
        <v>219.70598390125664</v>
      </c>
      <c r="DH88" s="29">
        <v>116.23779199219577</v>
      </c>
      <c r="DI88" s="28">
        <v>219.77774617544773</v>
      </c>
      <c r="DJ88" s="29">
        <v>116.27575340485257</v>
      </c>
      <c r="DK88" s="28">
        <v>219.84953188925539</v>
      </c>
      <c r="DL88" s="29">
        <v>116.31372824377976</v>
      </c>
      <c r="DM88" s="28">
        <v>219.9213410503356</v>
      </c>
      <c r="DN88" s="29">
        <v>116.35171634630242</v>
      </c>
      <c r="DO88" s="28">
        <v>219.99317366634668</v>
      </c>
      <c r="DP88" s="29">
        <v>116.38971756959248</v>
      </c>
      <c r="DQ88" s="28">
        <v>220.06502974495007</v>
      </c>
      <c r="DR88" s="29">
        <v>116.4277317895144</v>
      </c>
      <c r="DS88" s="28">
        <v>220.13690929380894</v>
      </c>
      <c r="DT88" s="29">
        <v>116.46575889937534</v>
      </c>
      <c r="DU88" s="28">
        <v>220.20881232058963</v>
      </c>
      <c r="DV88" s="29">
        <v>116.50379880860159</v>
      </c>
      <c r="DW88" s="28">
        <v>220.28073883296059</v>
      </c>
      <c r="DX88" s="29">
        <v>116.54185144135531</v>
      </c>
      <c r="DY88" s="28">
        <v>220.352688838593</v>
      </c>
      <c r="DZ88" s="29">
        <v>116.57991673511637</v>
      </c>
      <c r="EA88" s="28">
        <v>220.4246623451603</v>
      </c>
      <c r="EB88" s="29">
        <v>116.61799463924986</v>
      </c>
      <c r="EC88" s="28">
        <v>220.49665936033858</v>
      </c>
      <c r="ED88" s="29">
        <v>116.65608511358332</v>
      </c>
      <c r="EE88" s="28">
        <v>220.56867989180648</v>
      </c>
      <c r="EF88" s="29">
        <v>116.69418812701707</v>
      </c>
      <c r="EG88" s="28">
        <v>220.64072394724514</v>
      </c>
      <c r="EH88" s="29">
        <v>116.73230365619004</v>
      </c>
      <c r="EI88" s="28">
        <v>220.71279153433798</v>
      </c>
      <c r="EJ88" s="29">
        <v>116.77043168422286</v>
      </c>
      <c r="EK88" s="28">
        <v>220.78488266077127</v>
      </c>
      <c r="EL88" s="29">
        <v>116.80857219955703</v>
      </c>
      <c r="EM88" s="28">
        <v>220.85699733423374</v>
      </c>
      <c r="EN88" s="29">
        <v>116.84672519490466</v>
      </c>
      <c r="EO88" s="28">
        <v>220.92913556241618</v>
      </c>
      <c r="EP88" s="29">
        <v>116.88489066632037</v>
      </c>
      <c r="EQ88" s="28">
        <v>221.00129735301252</v>
      </c>
      <c r="ER88" s="29">
        <v>116.92306861240331</v>
      </c>
      <c r="ES88" s="28">
        <v>221.07348271371887</v>
      </c>
      <c r="ET88" s="29">
        <v>116.96125903362787</v>
      </c>
      <c r="EU88" s="28">
        <v>221.14569165223384</v>
      </c>
      <c r="EV88" s="29">
        <v>116.9994619318016</v>
      </c>
      <c r="EW88" s="28">
        <v>221.21792417625852</v>
      </c>
      <c r="EX88" s="29">
        <v>117.03767730964158</v>
      </c>
      <c r="EY88" s="28">
        <v>221.29018029349695</v>
      </c>
      <c r="EZ88" s="29">
        <v>117.07590517045662</v>
      </c>
      <c r="FA88" s="28">
        <v>221.362460011655</v>
      </c>
      <c r="FB88" s="29">
        <v>117.11414551791847</v>
      </c>
      <c r="FC88" s="28">
        <v>221.4347633384416</v>
      </c>
      <c r="FD88" s="29">
        <v>117.15239835590886</v>
      </c>
      <c r="FE88" s="28">
        <v>221.50709028156794</v>
      </c>
      <c r="FF88" s="29">
        <v>117.19066368842097</v>
      </c>
      <c r="FG88" s="28">
        <v>221.57944084874774</v>
      </c>
      <c r="FH88" s="29">
        <v>117.22894151950231</v>
      </c>
      <c r="FI88" s="28">
        <v>221.65181504769745</v>
      </c>
      <c r="FJ88" s="29">
        <v>117.26723185322447</v>
      </c>
      <c r="FK88" s="28">
        <v>221.72421288613586</v>
      </c>
      <c r="FL88" s="29">
        <v>117.30553469366816</v>
      </c>
      <c r="FM88" s="28">
        <v>221.79663437178417</v>
      </c>
      <c r="FN88" s="29">
        <v>117.34385004491782</v>
      </c>
      <c r="FO88" s="28">
        <v>221.86907951236631</v>
      </c>
      <c r="FP88" s="29">
        <v>117.38217791105991</v>
      </c>
      <c r="FQ88" s="28">
        <v>221.94154831560854</v>
      </c>
      <c r="FR88" s="29">
        <v>117.42051829618192</v>
      </c>
      <c r="FS88" s="28">
        <v>222.01404078924006</v>
      </c>
      <c r="FT88" s="29">
        <v>117.45887120437325</v>
      </c>
      <c r="FU88" s="28">
        <v>222.0865569409921</v>
      </c>
      <c r="FV88" s="29">
        <v>117.49723663972418</v>
      </c>
      <c r="FW88" s="28">
        <v>222.15909677859852</v>
      </c>
      <c r="FX88" s="29">
        <v>117.53561460632621</v>
      </c>
      <c r="FY88" s="28">
        <v>222.23166030979601</v>
      </c>
      <c r="FZ88" s="29">
        <v>117.5740051082727</v>
      </c>
      <c r="GA88" s="28">
        <v>222.30424754232345</v>
      </c>
      <c r="GB88" s="29">
        <v>117.61240814965792</v>
      </c>
      <c r="GC88" s="28">
        <v>222.37685848392238</v>
      </c>
      <c r="GD88" s="29">
        <v>117.65082373457761</v>
      </c>
      <c r="GE88" s="28">
        <v>222.44949314233688</v>
      </c>
      <c r="GF88" s="29">
        <v>117.68925186712885</v>
      </c>
      <c r="GG88" s="28">
        <v>222.52215152531349</v>
      </c>
      <c r="GH88" s="29">
        <v>117.72769255141003</v>
      </c>
      <c r="GI88" s="28">
        <v>222.59483364060142</v>
      </c>
      <c r="GJ88" s="29">
        <v>117.76614579152094</v>
      </c>
      <c r="GK88" s="28">
        <v>222.66753949595235</v>
      </c>
      <c r="GL88" s="29">
        <v>117.80461159156279</v>
      </c>
      <c r="GM88" s="28">
        <v>222.74026909912035</v>
      </c>
      <c r="GN88" s="29">
        <v>117.84308995563784</v>
      </c>
      <c r="GO88" s="28">
        <v>222.81302245786225</v>
      </c>
      <c r="GP88" s="29">
        <v>117.88158088784996</v>
      </c>
      <c r="GQ88" s="28">
        <v>222.88579957993716</v>
      </c>
      <c r="GR88" s="29">
        <v>117.92008439230419</v>
      </c>
      <c r="GS88" s="28">
        <v>222.95860047310697</v>
      </c>
      <c r="GT88" s="29">
        <v>117.95860047310697</v>
      </c>
    </row>
    <row r="89" spans="19:202" x14ac:dyDescent="0.25">
      <c r="AU89" s="28">
        <v>208.10005527888825</v>
      </c>
      <c r="AV89" s="29">
        <v>105.71247974390798</v>
      </c>
      <c r="AW89" s="28">
        <v>208.16802672400297</v>
      </c>
      <c r="AX89" s="29">
        <v>105.74700847099182</v>
      </c>
      <c r="AY89" s="28">
        <v>208.23602037054056</v>
      </c>
      <c r="AZ89" s="29">
        <v>105.78154847614799</v>
      </c>
      <c r="BA89" s="28">
        <v>208.3040362257529</v>
      </c>
      <c r="BB89" s="29">
        <v>105.81572498479228</v>
      </c>
      <c r="BC89" s="28">
        <v>208.37207429689386</v>
      </c>
      <c r="BD89" s="29">
        <v>105.84991720225757</v>
      </c>
      <c r="BE89" s="28">
        <v>208.44013459121976</v>
      </c>
      <c r="BF89" s="29">
        <v>105.88411676795268</v>
      </c>
      <c r="BG89" s="28">
        <v>208.50821711598931</v>
      </c>
      <c r="BH89" s="29">
        <v>105.91834993306752</v>
      </c>
      <c r="BI89" s="28">
        <v>208.57632187846366</v>
      </c>
      <c r="BJ89" s="29">
        <v>105.95261648269441</v>
      </c>
      <c r="BK89" s="28">
        <v>208.64444888590623</v>
      </c>
      <c r="BL89" s="29">
        <v>105.98691719885618</v>
      </c>
      <c r="BM89" s="28">
        <v>208.71259814558289</v>
      </c>
      <c r="BN89" s="29">
        <v>106.02125121176108</v>
      </c>
      <c r="BO89" s="28">
        <v>208.78076966476195</v>
      </c>
      <c r="BP89" s="29">
        <v>106.05561764347185</v>
      </c>
      <c r="BQ89" s="28">
        <v>208.84896345071391</v>
      </c>
      <c r="BR89" s="29">
        <v>106.09001553010648</v>
      </c>
      <c r="BS89" s="28">
        <v>208.91717951071175</v>
      </c>
      <c r="BT89" s="29">
        <v>106.12444391116506</v>
      </c>
      <c r="BU89" s="28">
        <v>208.98541785203068</v>
      </c>
      <c r="BV89" s="29">
        <v>106.1589018301223</v>
      </c>
      <c r="BW89" s="28">
        <v>209.05367848194874</v>
      </c>
      <c r="BX89" s="29">
        <v>106.19338833556286</v>
      </c>
      <c r="BY89" s="28">
        <v>209.12196140774569</v>
      </c>
      <c r="BZ89" s="29">
        <v>106.22790248656121</v>
      </c>
      <c r="CA89" s="28">
        <v>209.19026663670431</v>
      </c>
      <c r="CB89" s="29">
        <v>106.26244335458132</v>
      </c>
      <c r="CC89" s="28">
        <v>209.2585941761092</v>
      </c>
      <c r="CD89" s="29">
        <v>106.2970100254432</v>
      </c>
      <c r="CE89" s="28">
        <v>209.32694403324754</v>
      </c>
      <c r="CF89" s="29">
        <v>106.33160160135584</v>
      </c>
      <c r="CG89" s="28">
        <v>209.39531621540928</v>
      </c>
      <c r="CH89" s="29">
        <v>106.36621720284191</v>
      </c>
      <c r="CI89" s="28">
        <v>209.46371072988626</v>
      </c>
      <c r="CJ89" s="29">
        <v>106.40085597065091</v>
      </c>
      <c r="CK89" s="28">
        <v>209.5321275839726</v>
      </c>
      <c r="CL89" s="29">
        <v>106.43551706764829</v>
      </c>
      <c r="CM89" s="28">
        <v>209.60056678496534</v>
      </c>
      <c r="CN89" s="29">
        <v>106.47019968066321</v>
      </c>
      <c r="CO89" s="28">
        <v>209.66902834016363</v>
      </c>
      <c r="CP89" s="29">
        <v>106.50490302227992</v>
      </c>
      <c r="CQ89" s="28">
        <v>209.73751225686894</v>
      </c>
      <c r="CR89" s="29">
        <v>106.53962633255891</v>
      </c>
      <c r="CS89" s="28">
        <v>209.80601854238506</v>
      </c>
      <c r="CT89" s="29">
        <v>106.5743688806685</v>
      </c>
      <c r="CU89" s="28">
        <v>209.87454720401837</v>
      </c>
      <c r="CV89" s="29">
        <v>106.60912996640924</v>
      </c>
      <c r="CW89" s="28">
        <v>209.94309824907768</v>
      </c>
      <c r="CX89" s="29">
        <v>106.64390892161136</v>
      </c>
      <c r="CY89" s="28">
        <v>210.01167168487387</v>
      </c>
      <c r="CZ89" s="29">
        <v>106.67870511138665</v>
      </c>
      <c r="DA89" s="28">
        <v>210.08026751872049</v>
      </c>
      <c r="DB89" s="29">
        <v>106.71351793521572</v>
      </c>
      <c r="DC89" s="28">
        <v>210.1488857579333</v>
      </c>
      <c r="DD89" s="29">
        <v>106.74834682785058</v>
      </c>
      <c r="DE89" s="28">
        <v>210.21752640983064</v>
      </c>
      <c r="DF89" s="29">
        <v>106.78319126001533</v>
      </c>
      <c r="DG89" s="28">
        <v>210.286189481733</v>
      </c>
      <c r="DH89" s="29">
        <v>106.81805073888631</v>
      </c>
      <c r="DI89" s="28">
        <v>210.35487498096353</v>
      </c>
      <c r="DJ89" s="29">
        <v>106.85292480833873</v>
      </c>
      <c r="DK89" s="28">
        <v>210.42358291484766</v>
      </c>
      <c r="DL89" s="29">
        <v>106.8878130489435</v>
      </c>
      <c r="DM89" s="28">
        <v>210.49231329071318</v>
      </c>
      <c r="DN89" s="29">
        <v>106.92271507770636</v>
      </c>
      <c r="DO89" s="28">
        <v>210.56106611589004</v>
      </c>
      <c r="DP89" s="29">
        <v>106.95763054754138</v>
      </c>
      <c r="DQ89" s="28">
        <v>210.62984139771123</v>
      </c>
      <c r="DR89" s="29">
        <v>106.99255914647732</v>
      </c>
      <c r="DS89" s="28">
        <v>210.69863914351131</v>
      </c>
      <c r="DT89" s="29">
        <v>107.0275005965957</v>
      </c>
      <c r="DU89" s="28">
        <v>210.76745936062798</v>
      </c>
      <c r="DV89" s="29">
        <v>107.06245465271378</v>
      </c>
      <c r="DW89" s="28">
        <v>210.83630205640088</v>
      </c>
      <c r="DX89" s="29">
        <v>107.09742110081929</v>
      </c>
      <c r="DY89" s="28">
        <v>210.90516723817228</v>
      </c>
      <c r="DZ89" s="29">
        <v>107.13239975628146</v>
      </c>
      <c r="EA89" s="28">
        <v>210.97405491328669</v>
      </c>
      <c r="EB89" s="29">
        <v>107.16739046186115</v>
      </c>
      <c r="EC89" s="28">
        <v>211.04296508909101</v>
      </c>
      <c r="ED89" s="29">
        <v>107.20239308555352</v>
      </c>
      <c r="EE89" s="28">
        <v>211.11189777293473</v>
      </c>
      <c r="EF89" s="29">
        <v>107.23740751830073</v>
      </c>
      <c r="EG89" s="28">
        <v>211.18085297216959</v>
      </c>
      <c r="EH89" s="29">
        <v>107.27243367161726</v>
      </c>
      <c r="EI89" s="28">
        <v>211.24983069414967</v>
      </c>
      <c r="EJ89" s="29">
        <v>107.3074714751757</v>
      </c>
      <c r="EK89" s="28">
        <v>211.31883094623163</v>
      </c>
      <c r="EL89" s="29">
        <v>107.34252087440207</v>
      </c>
      <c r="EM89" s="28">
        <v>211.38785373577457</v>
      </c>
      <c r="EN89" s="29">
        <v>107.37758182813158</v>
      </c>
      <c r="EO89" s="28">
        <v>211.45689907013954</v>
      </c>
      <c r="EP89" s="29">
        <v>107.41265430637206</v>
      </c>
      <c r="EQ89" s="28">
        <v>211.52596695669061</v>
      </c>
      <c r="ER89" s="29">
        <v>107.44773828822322</v>
      </c>
      <c r="ES89" s="28">
        <v>211.59505740279391</v>
      </c>
      <c r="ET89" s="29">
        <v>107.48283375998605</v>
      </c>
      <c r="EU89" s="28">
        <v>211.66417041581798</v>
      </c>
      <c r="EV89" s="29">
        <v>107.51794071349589</v>
      </c>
      <c r="EW89" s="28">
        <v>211.73330600313372</v>
      </c>
      <c r="EX89" s="29">
        <v>107.55305914469629</v>
      </c>
      <c r="EY89" s="28">
        <v>211.8024641721149</v>
      </c>
      <c r="EZ89" s="29">
        <v>107.58818905246181</v>
      </c>
      <c r="FA89" s="28">
        <v>211.87164493013694</v>
      </c>
      <c r="FB89" s="29">
        <v>107.62333043766267</v>
      </c>
      <c r="FC89" s="28">
        <v>211.94084828457829</v>
      </c>
      <c r="FD89" s="29">
        <v>107.65848330245794</v>
      </c>
      <c r="FE89" s="28">
        <v>212.01007424281954</v>
      </c>
      <c r="FF89" s="29">
        <v>107.69364764978624</v>
      </c>
      <c r="FG89" s="28">
        <v>212.07932281224367</v>
      </c>
      <c r="FH89" s="29">
        <v>107.72882348302312</v>
      </c>
      <c r="FI89" s="28">
        <v>212.1485940002363</v>
      </c>
      <c r="FJ89" s="29">
        <v>107.7640108057672</v>
      </c>
      <c r="FK89" s="28">
        <v>212.21788781418525</v>
      </c>
      <c r="FL89" s="29">
        <v>107.79920962171788</v>
      </c>
      <c r="FM89" s="28">
        <v>212.28720426148072</v>
      </c>
      <c r="FN89" s="29">
        <v>107.83441993461446</v>
      </c>
      <c r="FO89" s="28">
        <v>212.35654334951545</v>
      </c>
      <c r="FP89" s="29">
        <v>107.86964174820903</v>
      </c>
      <c r="FQ89" s="28">
        <v>212.42590508568446</v>
      </c>
      <c r="FR89" s="29">
        <v>107.90487506625786</v>
      </c>
      <c r="FS89" s="28">
        <v>212.49528947738554</v>
      </c>
      <c r="FT89" s="29">
        <v>107.94011989251878</v>
      </c>
      <c r="FU89" s="28">
        <v>212.56469653201847</v>
      </c>
      <c r="FV89" s="29">
        <v>107.97537623075053</v>
      </c>
      <c r="FW89" s="28">
        <v>212.63412625698552</v>
      </c>
      <c r="FX89" s="29">
        <v>108.01064408471323</v>
      </c>
      <c r="FY89" s="28">
        <v>212.70357865969166</v>
      </c>
      <c r="FZ89" s="29">
        <v>108.04592345816837</v>
      </c>
      <c r="GA89" s="28">
        <v>212.77305374754397</v>
      </c>
      <c r="GB89" s="29">
        <v>108.08121435487845</v>
      </c>
      <c r="GC89" s="28">
        <v>212.84255152795208</v>
      </c>
      <c r="GD89" s="29">
        <v>108.11651677860732</v>
      </c>
      <c r="GE89" s="28">
        <v>212.91207200832807</v>
      </c>
      <c r="GF89" s="29">
        <v>108.15183073312005</v>
      </c>
      <c r="GG89" s="28">
        <v>212.98161519608632</v>
      </c>
      <c r="GH89" s="29">
        <v>108.18715622218289</v>
      </c>
      <c r="GI89" s="28">
        <v>213.05118109864381</v>
      </c>
      <c r="GJ89" s="29">
        <v>108.22249324956337</v>
      </c>
      <c r="GK89" s="28">
        <v>213.12076972341984</v>
      </c>
      <c r="GL89" s="29">
        <v>108.25784181903029</v>
      </c>
      <c r="GM89" s="28">
        <v>213.19038107783609</v>
      </c>
      <c r="GN89" s="29">
        <v>108.29320193435355</v>
      </c>
      <c r="GO89" s="28">
        <v>213.26001516931674</v>
      </c>
      <c r="GP89" s="29">
        <v>108.32857359930445</v>
      </c>
      <c r="GQ89" s="28">
        <v>213.3296720052883</v>
      </c>
      <c r="GR89" s="29">
        <v>108.36395681765531</v>
      </c>
      <c r="GS89" s="28">
        <v>213.39935159317986</v>
      </c>
      <c r="GT89" s="29">
        <v>108.39935159317986</v>
      </c>
    </row>
    <row r="90" spans="19:202" x14ac:dyDescent="0.25">
      <c r="AO90" s="28">
        <v>198.9828156127854</v>
      </c>
      <c r="AP90" s="29">
        <v>96.703276612182677</v>
      </c>
      <c r="AQ90" s="28">
        <v>199.04780910599743</v>
      </c>
      <c r="AR90" s="29">
        <v>96.73486267519381</v>
      </c>
      <c r="AS90" s="28">
        <v>199.11282382794798</v>
      </c>
      <c r="AT90" s="29">
        <v>96.76645905511883</v>
      </c>
      <c r="AU90" s="28">
        <v>199.17785978557097</v>
      </c>
      <c r="AV90" s="29">
        <v>96.797268181617724</v>
      </c>
      <c r="AW90" s="28">
        <v>199.24291698580257</v>
      </c>
      <c r="AX90" s="29">
        <v>96.828082188715086</v>
      </c>
      <c r="AY90" s="28">
        <v>199.30799543558106</v>
      </c>
      <c r="AZ90" s="29">
        <v>96.85888142708761</v>
      </c>
      <c r="BA90" s="28">
        <v>199.37309514184747</v>
      </c>
      <c r="BB90" s="29">
        <v>96.889728147857383</v>
      </c>
      <c r="BC90" s="28">
        <v>199.43821611154465</v>
      </c>
      <c r="BD90" s="29">
        <v>96.920623115474839</v>
      </c>
      <c r="BE90" s="28">
        <v>199.50335835161778</v>
      </c>
      <c r="BF90" s="29">
        <v>96.951569817353459</v>
      </c>
      <c r="BG90" s="28">
        <v>199.56852186901438</v>
      </c>
      <c r="BH90" s="29">
        <v>96.982567382408206</v>
      </c>
      <c r="BI90" s="28">
        <v>199.63370667068423</v>
      </c>
      <c r="BJ90" s="29">
        <v>97.013614896052118</v>
      </c>
      <c r="BK90" s="28">
        <v>199.69891276357941</v>
      </c>
      <c r="BL90" s="29">
        <v>97.04471114693628</v>
      </c>
      <c r="BM90" s="28">
        <v>199.76414015465426</v>
      </c>
      <c r="BN90" s="29">
        <v>97.075854894270535</v>
      </c>
      <c r="BO90" s="28">
        <v>199.8293888508654</v>
      </c>
      <c r="BP90" s="29">
        <v>97.107044866096047</v>
      </c>
      <c r="BQ90" s="28">
        <v>199.89465885917167</v>
      </c>
      <c r="BR90" s="29">
        <v>97.138279775403277</v>
      </c>
      <c r="BS90" s="28">
        <v>199.9599501865342</v>
      </c>
      <c r="BT90" s="29">
        <v>97.16955832209284</v>
      </c>
      <c r="BU90" s="28">
        <v>200.02526283991628</v>
      </c>
      <c r="BV90" s="29">
        <v>97.200879195343205</v>
      </c>
      <c r="BW90" s="28">
        <v>200.0905968262839</v>
      </c>
      <c r="BX90" s="29">
        <v>97.23224107642298</v>
      </c>
      <c r="BY90" s="28">
        <v>200.15595215260473</v>
      </c>
      <c r="BZ90" s="29">
        <v>97.263642641069637</v>
      </c>
      <c r="CA90" s="28">
        <v>200.22132882584927</v>
      </c>
      <c r="CB90" s="29">
        <v>97.295082562010307</v>
      </c>
      <c r="CC90" s="28">
        <v>200.28672685298983</v>
      </c>
      <c r="CD90" s="29">
        <v>97.326559511609588</v>
      </c>
      <c r="CE90" s="28">
        <v>200.35214624100115</v>
      </c>
      <c r="CF90" s="29">
        <v>97.358072164627558</v>
      </c>
      <c r="CG90" s="28">
        <v>200.41758699686059</v>
      </c>
      <c r="CH90" s="29">
        <v>97.389619201097659</v>
      </c>
      <c r="CI90" s="28">
        <v>200.48304912754739</v>
      </c>
      <c r="CJ90" s="29">
        <v>97.421199309314815</v>
      </c>
      <c r="CK90" s="28">
        <v>200.54853264004294</v>
      </c>
      <c r="CL90" s="29">
        <v>97.452811188924557</v>
      </c>
      <c r="CM90" s="28">
        <v>200.61403754133141</v>
      </c>
      <c r="CN90" s="29">
        <v>97.484453554100341</v>
      </c>
      <c r="CO90" s="28">
        <v>200.67956383839902</v>
      </c>
      <c r="CP90" s="29">
        <v>97.516125136791345</v>
      </c>
      <c r="CQ90" s="28">
        <v>200.74511153823414</v>
      </c>
      <c r="CR90" s="29">
        <v>97.547824690024726</v>
      </c>
      <c r="CS90" s="28">
        <v>200.8106806478275</v>
      </c>
      <c r="CT90" s="29">
        <v>97.579550991241064</v>
      </c>
      <c r="CU90" s="28">
        <v>200.87627117417213</v>
      </c>
      <c r="CV90" s="29">
        <v>97.611302845637951</v>
      </c>
      <c r="CW90" s="28">
        <v>200.94188312426354</v>
      </c>
      <c r="CX90" s="29">
        <v>97.643079089496297</v>
      </c>
      <c r="CY90" s="28">
        <v>201.00751650509915</v>
      </c>
      <c r="CZ90" s="29">
        <v>97.674878593457933</v>
      </c>
      <c r="DA90" s="28">
        <v>201.07317132367891</v>
      </c>
      <c r="DB90" s="29">
        <v>97.706700265723796</v>
      </c>
      <c r="DC90" s="28">
        <v>201.13884758700496</v>
      </c>
      <c r="DD90" s="29">
        <v>97.738543055135395</v>
      </c>
      <c r="DE90" s="28">
        <v>201.20454530208187</v>
      </c>
      <c r="DF90" s="29">
        <v>97.770405954102884</v>
      </c>
      <c r="DG90" s="28">
        <v>201.27026447591624</v>
      </c>
      <c r="DH90" s="29">
        <v>97.80228800133807</v>
      </c>
      <c r="DI90" s="28">
        <v>201.33600511551725</v>
      </c>
      <c r="DJ90" s="29">
        <v>97.834188284351995</v>
      </c>
      <c r="DK90" s="28">
        <v>201.40176722789624</v>
      </c>
      <c r="DL90" s="29">
        <v>97.86610594167243</v>
      </c>
      <c r="DM90" s="28">
        <v>201.46755082006689</v>
      </c>
      <c r="DN90" s="29">
        <v>97.898040164739072</v>
      </c>
      <c r="DO90" s="28">
        <v>201.53335589904481</v>
      </c>
      <c r="DP90" s="29">
        <v>97.929990199432638</v>
      </c>
      <c r="DQ90" s="28">
        <v>201.59918247184862</v>
      </c>
      <c r="DR90" s="29">
        <v>97.961955347199208</v>
      </c>
      <c r="DS90" s="28">
        <v>201.66503054549844</v>
      </c>
      <c r="DT90" s="29">
        <v>97.99393496572786</v>
      </c>
      <c r="DU90" s="28">
        <v>201.73090012701732</v>
      </c>
      <c r="DV90" s="29">
        <v>98.025928469154394</v>
      </c>
      <c r="DW90" s="28">
        <v>201.79679122343023</v>
      </c>
      <c r="DX90" s="29">
        <v>98.057935327759054</v>
      </c>
      <c r="DY90" s="28">
        <v>201.86270384176467</v>
      </c>
      <c r="DZ90" s="29">
        <v>98.089955067144501</v>
      </c>
      <c r="EA90" s="28">
        <v>201.92863798905023</v>
      </c>
      <c r="EB90" s="29">
        <v>98.121987266882343</v>
      </c>
      <c r="EC90" s="28">
        <v>201.99459367231884</v>
      </c>
      <c r="ED90" s="29">
        <v>98.15403155863487</v>
      </c>
      <c r="EE90" s="28">
        <v>202.06057089860485</v>
      </c>
      <c r="EF90" s="29">
        <v>98.186087623767222</v>
      </c>
      <c r="EG90" s="28">
        <v>202.12656967494482</v>
      </c>
      <c r="EH90" s="29">
        <v>98.218155190483401</v>
      </c>
      <c r="EI90" s="28">
        <v>202.19259000837752</v>
      </c>
      <c r="EJ90" s="29">
        <v>98.250234030533719</v>
      </c>
      <c r="EK90" s="28">
        <v>202.25863190594421</v>
      </c>
      <c r="EL90" s="29">
        <v>98.282323955558596</v>
      </c>
      <c r="EM90" s="28">
        <v>202.32469537468845</v>
      </c>
      <c r="EN90" s="29">
        <v>98.314424813147824</v>
      </c>
      <c r="EO90" s="28">
        <v>202.39078042165571</v>
      </c>
      <c r="EP90" s="29">
        <v>98.346536482708899</v>
      </c>
      <c r="EQ90" s="28">
        <v>202.45688705389432</v>
      </c>
      <c r="ER90" s="29">
        <v>98.378658871250892</v>
      </c>
      <c r="ES90" s="28">
        <v>202.52301527845458</v>
      </c>
      <c r="ET90" s="29">
        <v>98.410791909192142</v>
      </c>
      <c r="EU90" s="28">
        <v>202.5891651023891</v>
      </c>
      <c r="EV90" s="29">
        <v>98.442935546308277</v>
      </c>
      <c r="EW90" s="28">
        <v>202.65533653275281</v>
      </c>
      <c r="EX90" s="29">
        <v>98.475089747927058</v>
      </c>
      <c r="EY90" s="28">
        <v>202.72152957660327</v>
      </c>
      <c r="EZ90" s="29">
        <v>98.507254491466952</v>
      </c>
      <c r="FA90" s="28">
        <v>202.78774424099973</v>
      </c>
      <c r="FB90" s="29">
        <v>98.539429763395276</v>
      </c>
      <c r="FC90" s="28">
        <v>202.85398053300426</v>
      </c>
      <c r="FD90" s="29">
        <v>98.571615556661058</v>
      </c>
      <c r="FE90" s="28">
        <v>202.920238459681</v>
      </c>
      <c r="FF90" s="29">
        <v>98.603811868620099</v>
      </c>
      <c r="FG90" s="28">
        <v>202.98651802809644</v>
      </c>
      <c r="FH90" s="29">
        <v>98.636018699445373</v>
      </c>
      <c r="FI90" s="28">
        <v>203.05281924531948</v>
      </c>
      <c r="FJ90" s="29">
        <v>98.668236050981079</v>
      </c>
      <c r="FK90" s="28">
        <v>203.11914211842125</v>
      </c>
      <c r="FL90" s="29">
        <v>98.7004639259752</v>
      </c>
      <c r="FM90" s="28">
        <v>203.18548665447506</v>
      </c>
      <c r="FN90" s="29">
        <v>98.73270232761061</v>
      </c>
      <c r="FO90" s="28">
        <v>203.25185286055671</v>
      </c>
      <c r="FP90" s="29">
        <v>98.764951259250367</v>
      </c>
      <c r="FQ90" s="28">
        <v>203.31824074374416</v>
      </c>
      <c r="FR90" s="29">
        <v>98.79721072431758</v>
      </c>
      <c r="FS90" s="28">
        <v>203.38465031111801</v>
      </c>
      <c r="FT90" s="29">
        <v>98.829480726251276</v>
      </c>
      <c r="FU90" s="28">
        <v>203.45108156976079</v>
      </c>
      <c r="FV90" s="29">
        <v>98.861761268492899</v>
      </c>
      <c r="FW90" s="28">
        <v>203.51753452675737</v>
      </c>
      <c r="FX90" s="29">
        <v>98.894052354485098</v>
      </c>
      <c r="FY90" s="28">
        <v>203.58400918919529</v>
      </c>
      <c r="FZ90" s="29">
        <v>98.92635398767203</v>
      </c>
      <c r="GA90" s="28">
        <v>203.65050556416401</v>
      </c>
      <c r="GB90" s="29">
        <v>98.95866617149855</v>
      </c>
      <c r="GC90" s="28">
        <v>203.71702365875549</v>
      </c>
      <c r="GD90" s="29">
        <v>98.990988909410802</v>
      </c>
      <c r="GE90" s="28">
        <v>203.78356348006403</v>
      </c>
      <c r="GF90" s="29">
        <v>99.023322204856029</v>
      </c>
      <c r="GG90" s="28">
        <v>203.85012503518612</v>
      </c>
      <c r="GH90" s="29">
        <v>99.055666061282707</v>
      </c>
      <c r="GI90" s="28">
        <v>203.91670833122072</v>
      </c>
      <c r="GJ90" s="29">
        <v>99.088020482140308</v>
      </c>
      <c r="GK90" s="28">
        <v>203.98331337526906</v>
      </c>
      <c r="GL90" s="29">
        <v>99.120385470879498</v>
      </c>
      <c r="GM90" s="28">
        <v>204.0499401744346</v>
      </c>
      <c r="GN90" s="29">
        <v>99.152761030952078</v>
      </c>
      <c r="GO90" s="28">
        <v>204.1165887358232</v>
      </c>
      <c r="GP90" s="29">
        <v>99.185147165810918</v>
      </c>
      <c r="GQ90" s="28">
        <v>204.183259066543</v>
      </c>
      <c r="GR90" s="29">
        <v>99.217543878909993</v>
      </c>
      <c r="GS90" s="28">
        <v>204.24995117370455</v>
      </c>
      <c r="GT90" s="29">
        <v>99.249951173704545</v>
      </c>
    </row>
    <row r="91" spans="19:202" x14ac:dyDescent="0.25">
      <c r="AI91" s="28">
        <v>190.26501870039897</v>
      </c>
      <c r="AJ91" s="29">
        <v>88.10254210178222</v>
      </c>
      <c r="AK91" s="28">
        <v>190.32716471116541</v>
      </c>
      <c r="AL91" s="29">
        <v>88.131318918284805</v>
      </c>
      <c r="AM91" s="28">
        <v>190.38933102060091</v>
      </c>
      <c r="AN91" s="29">
        <v>88.160105134120812</v>
      </c>
      <c r="AO91" s="28">
        <v>190.45151763533556</v>
      </c>
      <c r="AP91" s="29">
        <v>88.187361267255213</v>
      </c>
      <c r="AQ91" s="28">
        <v>190.51372456200176</v>
      </c>
      <c r="AR91" s="29">
        <v>88.214590689202097</v>
      </c>
      <c r="AS91" s="28">
        <v>190.57595180723391</v>
      </c>
      <c r="AT91" s="29">
        <v>88.241751236465547</v>
      </c>
      <c r="AU91" s="28">
        <v>190.63819937766868</v>
      </c>
      <c r="AV91" s="29">
        <v>88.268974377901174</v>
      </c>
      <c r="AW91" s="28">
        <v>190.70046727994483</v>
      </c>
      <c r="AX91" s="29">
        <v>88.296263355753425</v>
      </c>
      <c r="AY91" s="28">
        <v>190.76275552070322</v>
      </c>
      <c r="AZ91" s="29">
        <v>88.323627994296018</v>
      </c>
      <c r="BA91" s="28">
        <v>190.82506410658723</v>
      </c>
      <c r="BB91" s="29">
        <v>88.351068004017563</v>
      </c>
      <c r="BC91" s="28">
        <v>190.88739304424206</v>
      </c>
      <c r="BD91" s="29">
        <v>88.378583006947011</v>
      </c>
      <c r="BE91" s="28">
        <v>190.94974234031511</v>
      </c>
      <c r="BF91" s="29">
        <v>88.406171847008494</v>
      </c>
      <c r="BG91" s="28">
        <v>191.01211200145605</v>
      </c>
      <c r="BH91" s="29">
        <v>88.433833286674528</v>
      </c>
      <c r="BI91" s="28">
        <v>191.07450203431668</v>
      </c>
      <c r="BJ91" s="29">
        <v>88.46156599538206</v>
      </c>
      <c r="BK91" s="28">
        <v>191.13691244555102</v>
      </c>
      <c r="BL91" s="29">
        <v>88.48936859424424</v>
      </c>
      <c r="BM91" s="28">
        <v>191.1993432418152</v>
      </c>
      <c r="BN91" s="29">
        <v>88.517239657889164</v>
      </c>
      <c r="BO91" s="28">
        <v>191.26179442976763</v>
      </c>
      <c r="BP91" s="29">
        <v>88.545177717824515</v>
      </c>
      <c r="BQ91" s="28">
        <v>191.3242660160688</v>
      </c>
      <c r="BR91" s="29">
        <v>88.573181263682159</v>
      </c>
      <c r="BS91" s="28">
        <v>191.38675800738133</v>
      </c>
      <c r="BT91" s="29">
        <v>88.601248744698637</v>
      </c>
      <c r="BU91" s="28">
        <v>191.44927041037002</v>
      </c>
      <c r="BV91" s="29">
        <v>88.629378571397041</v>
      </c>
      <c r="BW91" s="28">
        <v>191.51180323170215</v>
      </c>
      <c r="BX91" s="29">
        <v>88.657569117401394</v>
      </c>
      <c r="BY91" s="28">
        <v>191.57435647804667</v>
      </c>
      <c r="BZ91" s="29">
        <v>88.685818721486129</v>
      </c>
      <c r="CA91" s="28">
        <v>191.63693015607524</v>
      </c>
      <c r="CB91" s="29">
        <v>88.714125689872503</v>
      </c>
      <c r="CC91" s="28">
        <v>191.69952427246122</v>
      </c>
      <c r="CD91" s="29">
        <v>88.742488298777658</v>
      </c>
      <c r="CE91" s="28">
        <v>191.76213883388033</v>
      </c>
      <c r="CF91" s="29">
        <v>88.770904797231822</v>
      </c>
      <c r="CG91" s="28">
        <v>191.82477384701073</v>
      </c>
      <c r="CH91" s="29">
        <v>88.799373410168826</v>
      </c>
      <c r="CI91" s="28">
        <v>191.88742931853247</v>
      </c>
      <c r="CJ91" s="29">
        <v>88.827892341796428</v>
      </c>
      <c r="CK91" s="28">
        <v>191.95010525512762</v>
      </c>
      <c r="CL91" s="29">
        <v>88.856459779251196</v>
      </c>
      <c r="CM91" s="28">
        <v>192.0128016634809</v>
      </c>
      <c r="CN91" s="29">
        <v>88.885073896540362</v>
      </c>
      <c r="CO91" s="28">
        <v>192.07551855027896</v>
      </c>
      <c r="CP91" s="29">
        <v>88.913732858766878</v>
      </c>
      <c r="CQ91" s="28">
        <v>192.13825592221062</v>
      </c>
      <c r="CR91" s="29">
        <v>88.942434826636514</v>
      </c>
      <c r="CS91" s="28">
        <v>192.20101378596681</v>
      </c>
      <c r="CT91" s="29">
        <v>88.971177961237132</v>
      </c>
      <c r="CU91" s="28">
        <v>192.26379214824078</v>
      </c>
      <c r="CV91" s="29">
        <v>88.999960429078968</v>
      </c>
      <c r="CW91" s="28">
        <v>192.32659101572813</v>
      </c>
      <c r="CX91" s="29">
        <v>89.028780407377809</v>
      </c>
      <c r="CY91" s="28">
        <v>192.38941039512619</v>
      </c>
      <c r="CZ91" s="29">
        <v>89.05763608955867</v>
      </c>
      <c r="DA91" s="28">
        <v>192.45225029313488</v>
      </c>
      <c r="DB91" s="29">
        <v>89.086525690953366</v>
      </c>
      <c r="DC91" s="28">
        <v>192.51511071645609</v>
      </c>
      <c r="DD91" s="29">
        <v>89.11544745465406</v>
      </c>
      <c r="DE91" s="28">
        <v>192.57799167179405</v>
      </c>
      <c r="DF91" s="29">
        <v>89.14439965748322</v>
      </c>
      <c r="DG91" s="28">
        <v>192.640893165855</v>
      </c>
      <c r="DH91" s="29">
        <v>89.17338061602895</v>
      </c>
      <c r="DI91" s="28">
        <v>192.70381520534758</v>
      </c>
      <c r="DJ91" s="29">
        <v>89.202388692689837</v>
      </c>
      <c r="DK91" s="28">
        <v>192.76675779698249</v>
      </c>
      <c r="DL91" s="29">
        <v>89.231422301662121</v>
      </c>
      <c r="DM91" s="28">
        <v>192.82972094747277</v>
      </c>
      <c r="DN91" s="29">
        <v>89.260479914797813</v>
      </c>
      <c r="DO91" s="28">
        <v>192.89270466353318</v>
      </c>
      <c r="DP91" s="29">
        <v>89.289560067250463</v>
      </c>
      <c r="DQ91" s="28">
        <v>192.95570895188146</v>
      </c>
      <c r="DR91" s="29">
        <v>89.318661362823505</v>
      </c>
      <c r="DS91" s="28">
        <v>193.0187338192367</v>
      </c>
      <c r="DT91" s="29">
        <v>89.347782478921474</v>
      </c>
      <c r="DU91" s="28">
        <v>193.08177927232089</v>
      </c>
      <c r="DV91" s="29">
        <v>89.376922171010676</v>
      </c>
      <c r="DW91" s="28">
        <v>193.1448453178578</v>
      </c>
      <c r="DX91" s="29">
        <v>89.406079276481421</v>
      </c>
      <c r="DY91" s="28">
        <v>193.20793196257358</v>
      </c>
      <c r="DZ91" s="29">
        <v>89.435252717812858</v>
      </c>
      <c r="EA91" s="28">
        <v>193.27103921319647</v>
      </c>
      <c r="EB91" s="29">
        <v>89.464441504938662</v>
      </c>
      <c r="EC91" s="28">
        <v>193.33416707645694</v>
      </c>
      <c r="ED91" s="29">
        <v>89.493644736720753</v>
      </c>
      <c r="EE91" s="28">
        <v>193.39731555908767</v>
      </c>
      <c r="EF91" s="29">
        <v>89.522861601448838</v>
      </c>
      <c r="EG91" s="28">
        <v>193.46048466782358</v>
      </c>
      <c r="EH91" s="29">
        <v>89.552091376300524</v>
      </c>
      <c r="EI91" s="28">
        <v>193.52367440940165</v>
      </c>
      <c r="EJ91" s="29">
        <v>89.581333425716977</v>
      </c>
      <c r="EK91" s="28">
        <v>193.58688479056124</v>
      </c>
      <c r="EL91" s="29">
        <v>89.610587198679639</v>
      </c>
      <c r="EM91" s="28">
        <v>193.65011581804393</v>
      </c>
      <c r="EN91" s="29">
        <v>89.639852224903265</v>
      </c>
      <c r="EO91" s="28">
        <v>193.71336749859313</v>
      </c>
      <c r="EP91" s="29">
        <v>89.669128110001182</v>
      </c>
      <c r="EQ91" s="28">
        <v>193.77663983895494</v>
      </c>
      <c r="ER91" s="29">
        <v>89.698414529721404</v>
      </c>
      <c r="ES91" s="28">
        <v>193.8399328458774</v>
      </c>
      <c r="ET91" s="29">
        <v>89.727711223392376</v>
      </c>
      <c r="EU91" s="28">
        <v>193.90324652611076</v>
      </c>
      <c r="EV91" s="29">
        <v>89.757017986764282</v>
      </c>
      <c r="EW91" s="28">
        <v>193.96658088640746</v>
      </c>
      <c r="EX91" s="29">
        <v>89.786334664467887</v>
      </c>
      <c r="EY91" s="28">
        <v>194.02993593352244</v>
      </c>
      <c r="EZ91" s="29">
        <v>89.815661142343075</v>
      </c>
      <c r="FA91" s="28">
        <v>194.09331167421232</v>
      </c>
      <c r="FB91" s="29">
        <v>89.844997339904012</v>
      </c>
      <c r="FC91" s="28">
        <v>194.1567081152364</v>
      </c>
      <c r="FD91" s="29">
        <v>89.874343203211509</v>
      </c>
      <c r="FE91" s="28">
        <v>194.22012526335592</v>
      </c>
      <c r="FF91" s="29">
        <v>89.9036986983931</v>
      </c>
      <c r="FG91" s="28">
        <v>194.28356312533441</v>
      </c>
      <c r="FH91" s="29">
        <v>89.933063806013521</v>
      </c>
      <c r="FI91" s="28">
        <v>194.3470217079377</v>
      </c>
      <c r="FJ91" s="29">
        <v>89.962438516428207</v>
      </c>
      <c r="FK91" s="28">
        <v>194.41050101793374</v>
      </c>
      <c r="FL91" s="29">
        <v>89.991822826171671</v>
      </c>
      <c r="FM91" s="28">
        <v>194.47400106209255</v>
      </c>
      <c r="FN91" s="29">
        <v>90.02121673534576</v>
      </c>
      <c r="FO91" s="28">
        <v>194.53752184718661</v>
      </c>
      <c r="FP91" s="29">
        <v>90.050620245891054</v>
      </c>
      <c r="FQ91" s="28">
        <v>194.60106337999039</v>
      </c>
      <c r="FR91" s="29">
        <v>90.080033360563831</v>
      </c>
      <c r="FS91" s="28">
        <v>194.66462566728092</v>
      </c>
      <c r="FT91" s="29">
        <v>90.109456082414184</v>
      </c>
      <c r="FU91" s="28">
        <v>194.72820871583704</v>
      </c>
      <c r="FV91" s="29">
        <v>90.138888414569152</v>
      </c>
      <c r="FW91" s="28">
        <v>194.79181253243991</v>
      </c>
      <c r="FX91" s="29">
        <v>90.168330360167673</v>
      </c>
      <c r="FY91" s="28">
        <v>194.85543712387312</v>
      </c>
      <c r="FZ91" s="29">
        <v>90.197781922349876</v>
      </c>
      <c r="GA91" s="28">
        <v>194.91908249692224</v>
      </c>
      <c r="GB91" s="29">
        <v>90.227243104256786</v>
      </c>
      <c r="GC91" s="28">
        <v>194.98274865837516</v>
      </c>
      <c r="GD91" s="29">
        <v>90.256713909030438</v>
      </c>
      <c r="GE91" s="28">
        <v>195.04643561502201</v>
      </c>
      <c r="GF91" s="29">
        <v>90.28619433981406</v>
      </c>
      <c r="GG91" s="28">
        <v>195.11014337365498</v>
      </c>
      <c r="GH91" s="29">
        <v>90.315684399751547</v>
      </c>
      <c r="GI91" s="28">
        <v>195.17387194106871</v>
      </c>
      <c r="GJ91" s="29">
        <v>90.345184091988301</v>
      </c>
      <c r="GK91" s="28">
        <v>195.23762132405994</v>
      </c>
      <c r="GL91" s="29">
        <v>90.374693419670464</v>
      </c>
      <c r="GM91" s="28">
        <v>195.3013915294276</v>
      </c>
      <c r="GN91" s="29">
        <v>90.404212385945129</v>
      </c>
      <c r="GO91" s="28">
        <v>195.36518256397287</v>
      </c>
      <c r="GP91" s="29">
        <v>90.433740993960612</v>
      </c>
      <c r="GQ91" s="28">
        <v>195.42899443449915</v>
      </c>
      <c r="GR91" s="29">
        <v>90.463279246866165</v>
      </c>
      <c r="GS91" s="28">
        <v>195.49282714781208</v>
      </c>
      <c r="GT91" s="29">
        <v>90.492827147812079</v>
      </c>
    </row>
    <row r="92" spans="19:202" x14ac:dyDescent="0.25">
      <c r="AE92" s="28">
        <v>181.98858751417242</v>
      </c>
      <c r="AF92" s="29">
        <v>79.926503713032162</v>
      </c>
      <c r="AG92" s="28">
        <v>182.048030205195</v>
      </c>
      <c r="AH92" s="29">
        <v>79.952610000957279</v>
      </c>
      <c r="AI92" s="28">
        <v>182.10749231190479</v>
      </c>
      <c r="AJ92" s="29">
        <v>79.976000678671625</v>
      </c>
      <c r="AK92" s="28">
        <v>182.16697384064386</v>
      </c>
      <c r="AL92" s="29">
        <v>79.999295346520711</v>
      </c>
      <c r="AM92" s="28">
        <v>182.22647479775574</v>
      </c>
      <c r="AN92" s="29">
        <v>80.022411194817721</v>
      </c>
      <c r="AO92" s="28">
        <v>182.28599518958629</v>
      </c>
      <c r="AP92" s="29">
        <v>80.045599380605367</v>
      </c>
      <c r="AQ92" s="28">
        <v>182.34553502248352</v>
      </c>
      <c r="AR92" s="29">
        <v>80.068868019189068</v>
      </c>
      <c r="AS92" s="28">
        <v>182.40509430279741</v>
      </c>
      <c r="AT92" s="29">
        <v>80.092239453715095</v>
      </c>
      <c r="AU92" s="28">
        <v>182.4646730368801</v>
      </c>
      <c r="AV92" s="29">
        <v>80.115714981513094</v>
      </c>
      <c r="AW92" s="28">
        <v>182.52427123108566</v>
      </c>
      <c r="AX92" s="29">
        <v>80.139295774722953</v>
      </c>
      <c r="AY92" s="28">
        <v>182.58388889177027</v>
      </c>
      <c r="AZ92" s="29">
        <v>80.162981234377952</v>
      </c>
      <c r="BA92" s="28">
        <v>182.64352602529246</v>
      </c>
      <c r="BB92" s="29">
        <v>80.186770602910556</v>
      </c>
      <c r="BC92" s="28">
        <v>182.70318263801252</v>
      </c>
      <c r="BD92" s="29">
        <v>80.210662927648343</v>
      </c>
      <c r="BE92" s="28">
        <v>182.76285873629286</v>
      </c>
      <c r="BF92" s="29">
        <v>80.234657175204347</v>
      </c>
      <c r="BG92" s="28">
        <v>182.82255432649802</v>
      </c>
      <c r="BH92" s="29">
        <v>80.258752233259926</v>
      </c>
      <c r="BI92" s="28">
        <v>182.88226941499465</v>
      </c>
      <c r="BJ92" s="29">
        <v>80.282946916897487</v>
      </c>
      <c r="BK92" s="28">
        <v>182.94200400815146</v>
      </c>
      <c r="BL92" s="29">
        <v>80.307239968005575</v>
      </c>
      <c r="BM92" s="28">
        <v>183.00175811233922</v>
      </c>
      <c r="BN92" s="29">
        <v>80.331630054787709</v>
      </c>
      <c r="BO92" s="28">
        <v>183.06153173393082</v>
      </c>
      <c r="BP92" s="29">
        <v>80.356115771047939</v>
      </c>
      <c r="BQ92" s="28">
        <v>183.1213248793012</v>
      </c>
      <c r="BR92" s="29">
        <v>80.380695635648436</v>
      </c>
      <c r="BS92" s="28">
        <v>183.18113755482733</v>
      </c>
      <c r="BT92" s="29">
        <v>80.405368092151093</v>
      </c>
      <c r="BU92" s="28">
        <v>183.24096976688827</v>
      </c>
      <c r="BV92" s="29">
        <v>80.430131508662129</v>
      </c>
      <c r="BW92" s="28">
        <v>183.30082152186543</v>
      </c>
      <c r="BX92" s="29">
        <v>80.454984177918561</v>
      </c>
      <c r="BY92" s="28">
        <v>183.36069282614187</v>
      </c>
      <c r="BZ92" s="29">
        <v>80.479924317639984</v>
      </c>
      <c r="CA92" s="28">
        <v>183.42058368610313</v>
      </c>
      <c r="CB92" s="29">
        <v>80.504950071174534</v>
      </c>
      <c r="CC92" s="28">
        <v>183.48049410813653</v>
      </c>
      <c r="CD92" s="29">
        <v>80.53005950846341</v>
      </c>
      <c r="CE92" s="28">
        <v>183.54042409863152</v>
      </c>
      <c r="CF92" s="29">
        <v>80.555250627354908</v>
      </c>
      <c r="CG92" s="28">
        <v>183.60037366397995</v>
      </c>
      <c r="CH92" s="29">
        <v>80.580521355295531</v>
      </c>
      <c r="CI92" s="28">
        <v>183.66034281057546</v>
      </c>
      <c r="CJ92" s="29">
        <v>80.605869551427091</v>
      </c>
      <c r="CK92" s="28">
        <v>183.72033154481366</v>
      </c>
      <c r="CL92" s="29">
        <v>80.63129300912135</v>
      </c>
      <c r="CM92" s="28">
        <v>183.78033987309263</v>
      </c>
      <c r="CN92" s="29">
        <v>80.656789458980796</v>
      </c>
      <c r="CO92" s="28">
        <v>183.84036780181236</v>
      </c>
      <c r="CP92" s="29">
        <v>80.682356572334399</v>
      </c>
      <c r="CQ92" s="28">
        <v>183.90041533737485</v>
      </c>
      <c r="CR92" s="29">
        <v>80.707991965257179</v>
      </c>
      <c r="CS92" s="28">
        <v>183.96048248618422</v>
      </c>
      <c r="CT92" s="29">
        <v>80.733693203139794</v>
      </c>
      <c r="CU92" s="28">
        <v>184.02056925464672</v>
      </c>
      <c r="CV92" s="29">
        <v>80.759457805831872</v>
      </c>
      <c r="CW92" s="28">
        <v>184.08067564917084</v>
      </c>
      <c r="CX92" s="29">
        <v>80.785283253379802</v>
      </c>
      <c r="CY92" s="28">
        <v>184.14080167616683</v>
      </c>
      <c r="CZ92" s="29">
        <v>80.811166992374339</v>
      </c>
      <c r="DA92" s="28">
        <v>184.2009473420473</v>
      </c>
      <c r="DB92" s="29">
        <v>80.837106442920444</v>
      </c>
      <c r="DC92" s="28">
        <v>184.26111265322686</v>
      </c>
      <c r="DD92" s="29">
        <v>80.863099006231167</v>
      </c>
      <c r="DE92" s="28">
        <v>184.32129761612222</v>
      </c>
      <c r="DF92" s="29">
        <v>80.889142072842006</v>
      </c>
      <c r="DG92" s="28">
        <v>184.38150223715218</v>
      </c>
      <c r="DH92" s="29">
        <v>80.915233031431214</v>
      </c>
      <c r="DI92" s="28">
        <v>184.44172652273767</v>
      </c>
      <c r="DJ92" s="29">
        <v>80.941369278219966</v>
      </c>
      <c r="DK92" s="28">
        <v>184.50197047930172</v>
      </c>
      <c r="DL92" s="29">
        <v>80.967548226912314</v>
      </c>
      <c r="DM92" s="28">
        <v>184.56223411326954</v>
      </c>
      <c r="DN92" s="29">
        <v>80.993767319120508</v>
      </c>
      <c r="DO92" s="28">
        <v>184.62251743106802</v>
      </c>
      <c r="DP92" s="29">
        <v>81.020024035202169</v>
      </c>
      <c r="DQ92" s="28">
        <v>184.68282043912683</v>
      </c>
      <c r="DR92" s="29">
        <v>81.0463159054204</v>
      </c>
      <c r="DS92" s="28">
        <v>184.74314314387703</v>
      </c>
      <c r="DT92" s="29">
        <v>81.072640521309523</v>
      </c>
      <c r="DU92" s="28">
        <v>184.80348555175237</v>
      </c>
      <c r="DV92" s="29">
        <v>81.098995547117568</v>
      </c>
      <c r="DW92" s="28">
        <v>184.86384766918837</v>
      </c>
      <c r="DX92" s="29">
        <v>81.125378731161618</v>
      </c>
      <c r="DY92" s="28">
        <v>184.92422950262278</v>
      </c>
      <c r="DZ92" s="29">
        <v>81.151787916918678</v>
      </c>
      <c r="EA92" s="28">
        <v>184.98463105849538</v>
      </c>
      <c r="EB92" s="29">
        <v>81.178221053645046</v>
      </c>
      <c r="EC92" s="28">
        <v>185.04505234324807</v>
      </c>
      <c r="ED92" s="29">
        <v>81.204676206299979</v>
      </c>
      <c r="EE92" s="28">
        <v>185.10549336332488</v>
      </c>
      <c r="EF92" s="29">
        <v>81.23115156452964</v>
      </c>
      <c r="EG92" s="28">
        <v>185.16595412517194</v>
      </c>
      <c r="EH92" s="29">
        <v>81.257645450456437</v>
      </c>
      <c r="EI92" s="28">
        <v>185.22643463523744</v>
      </c>
      <c r="EJ92" s="29">
        <v>81.28415632501293</v>
      </c>
      <c r="EK92" s="28">
        <v>185.28693489997175</v>
      </c>
      <c r="EL92" s="29">
        <v>81.310682792564847</v>
      </c>
      <c r="EM92" s="28">
        <v>185.34745492582741</v>
      </c>
      <c r="EN92" s="29">
        <v>81.337223603584377</v>
      </c>
      <c r="EO92" s="28">
        <v>185.40799471925874</v>
      </c>
      <c r="EP92" s="29">
        <v>81.36377765516788</v>
      </c>
      <c r="EQ92" s="28">
        <v>185.46855428672256</v>
      </c>
      <c r="ER92" s="29">
        <v>81.39034398924251</v>
      </c>
      <c r="ES92" s="28">
        <v>185.52913363467763</v>
      </c>
      <c r="ET92" s="29">
        <v>81.416921788372164</v>
      </c>
      <c r="EU92" s="28">
        <v>185.58973276958477</v>
      </c>
      <c r="EV92" s="29">
        <v>81.443510369164727</v>
      </c>
      <c r="EW92" s="28">
        <v>185.65035169790693</v>
      </c>
      <c r="EX92" s="29">
        <v>81.470109173387044</v>
      </c>
      <c r="EY92" s="28">
        <v>185.71099042610939</v>
      </c>
      <c r="EZ92" s="29">
        <v>81.496717757015233</v>
      </c>
      <c r="FA92" s="28">
        <v>185.77164896065912</v>
      </c>
      <c r="FB92" s="29">
        <v>81.523335777575539</v>
      </c>
      <c r="FC92" s="28">
        <v>185.83232730802561</v>
      </c>
      <c r="FD92" s="29">
        <v>81.549962980259295</v>
      </c>
      <c r="FE92" s="28">
        <v>185.89302547468023</v>
      </c>
      <c r="FF92" s="29">
        <v>81.576599183399495</v>
      </c>
      <c r="FG92" s="28">
        <v>185.9537434670965</v>
      </c>
      <c r="FH92" s="29">
        <v>81.603244263975725</v>
      </c>
      <c r="FI92" s="28">
        <v>186.01448129175017</v>
      </c>
      <c r="FJ92" s="29">
        <v>81.629898143835163</v>
      </c>
      <c r="FK92" s="28">
        <v>186.07523895511903</v>
      </c>
      <c r="FL92" s="29">
        <v>81.656560777272233</v>
      </c>
      <c r="FM92" s="28">
        <v>186.13601646368284</v>
      </c>
      <c r="FN92" s="29">
        <v>81.683232140490659</v>
      </c>
      <c r="FO92" s="28">
        <v>186.19681382392369</v>
      </c>
      <c r="FP92" s="29">
        <v>81.709912223276504</v>
      </c>
      <c r="FQ92" s="28">
        <v>186.25763104232564</v>
      </c>
      <c r="FR92" s="29">
        <v>81.736601022962674</v>
      </c>
      <c r="FS92" s="28">
        <v>186.31846812537512</v>
      </c>
      <c r="FT92" s="29">
        <v>81.763298540508387</v>
      </c>
      <c r="FU92" s="28">
        <v>186.37932507956035</v>
      </c>
      <c r="FV92" s="29">
        <v>81.790004778292484</v>
      </c>
      <c r="FW92" s="28">
        <v>186.44020191137173</v>
      </c>
      <c r="FX92" s="29">
        <v>81.816719739099511</v>
      </c>
      <c r="FY92" s="28">
        <v>186.50109862730201</v>
      </c>
      <c r="FZ92" s="29">
        <v>81.843443425778801</v>
      </c>
      <c r="GA92" s="28">
        <v>186.56201523384587</v>
      </c>
      <c r="GB92" s="29">
        <v>81.870175841180412</v>
      </c>
      <c r="GC92" s="28">
        <v>186.62295173750013</v>
      </c>
      <c r="GD92" s="29">
        <v>81.896916988155425</v>
      </c>
      <c r="GE92" s="28">
        <v>186.68390814476382</v>
      </c>
      <c r="GF92" s="29">
        <v>81.923666869555859</v>
      </c>
      <c r="GG92" s="28">
        <v>186.74488446213792</v>
      </c>
      <c r="GH92" s="29">
        <v>81.950425488234529</v>
      </c>
      <c r="GI92" s="28">
        <v>186.80588069612574</v>
      </c>
      <c r="GJ92" s="29">
        <v>81.977192847045359</v>
      </c>
      <c r="GK92" s="28">
        <v>186.86689685323259</v>
      </c>
      <c r="GL92" s="29">
        <v>82.003968948843095</v>
      </c>
      <c r="GM92" s="28">
        <v>186.92793293996596</v>
      </c>
      <c r="GN92" s="29">
        <v>82.030753796483495</v>
      </c>
      <c r="GO92" s="28">
        <v>186.98898896283535</v>
      </c>
      <c r="GP92" s="29">
        <v>82.057547392823096</v>
      </c>
      <c r="GQ92" s="28">
        <v>187.05006492835255</v>
      </c>
      <c r="GR92" s="29">
        <v>82.084349740719574</v>
      </c>
      <c r="GS92" s="28">
        <v>187.11116084303137</v>
      </c>
      <c r="GT92" s="29">
        <v>82.111160843031371</v>
      </c>
    </row>
    <row r="93" spans="19:202" x14ac:dyDescent="0.25">
      <c r="AA93" s="28">
        <v>174.07217685956118</v>
      </c>
      <c r="AB93" s="29">
        <v>72.134352270435983</v>
      </c>
      <c r="AC93" s="28">
        <v>174.12903382386889</v>
      </c>
      <c r="AD93" s="29">
        <v>72.15791341826781</v>
      </c>
      <c r="AE93" s="28">
        <v>174.18590935929134</v>
      </c>
      <c r="AF93" s="29">
        <v>72.17679301190725</v>
      </c>
      <c r="AG93" s="28">
        <v>174.24280347189458</v>
      </c>
      <c r="AH93" s="29">
        <v>72.195299706441702</v>
      </c>
      <c r="AI93" s="28">
        <v>174.2997161677462</v>
      </c>
      <c r="AJ93" s="29">
        <v>72.21387290917535</v>
      </c>
      <c r="AK93" s="28">
        <v>174.35664745291643</v>
      </c>
      <c r="AL93" s="29">
        <v>72.232528943377474</v>
      </c>
      <c r="AM93" s="28">
        <v>174.41359733347679</v>
      </c>
      <c r="AN93" s="29">
        <v>72.251311953875955</v>
      </c>
      <c r="AO93" s="28">
        <v>174.47056581550106</v>
      </c>
      <c r="AP93" s="29">
        <v>72.270226274601356</v>
      </c>
      <c r="AQ93" s="28">
        <v>174.52755290506511</v>
      </c>
      <c r="AR93" s="29">
        <v>72.289276115816037</v>
      </c>
      <c r="AS93" s="28">
        <v>174.58455860824665</v>
      </c>
      <c r="AT93" s="29">
        <v>72.308462053535493</v>
      </c>
      <c r="AU93" s="28">
        <v>174.64158293112547</v>
      </c>
      <c r="AV93" s="29">
        <v>72.327784385586511</v>
      </c>
      <c r="AW93" s="28">
        <v>174.69862587978321</v>
      </c>
      <c r="AX93" s="29">
        <v>72.347243040164614</v>
      </c>
      <c r="AY93" s="28">
        <v>174.75568746030356</v>
      </c>
      <c r="AZ93" s="29">
        <v>72.366837841371677</v>
      </c>
      <c r="BA93" s="28">
        <v>174.81276767877239</v>
      </c>
      <c r="BB93" s="29">
        <v>72.38656851356059</v>
      </c>
      <c r="BC93" s="28">
        <v>174.86986654127733</v>
      </c>
      <c r="BD93" s="29">
        <v>72.406434697894042</v>
      </c>
      <c r="BE93" s="28">
        <v>174.92698405390797</v>
      </c>
      <c r="BF93" s="29">
        <v>72.426435950417172</v>
      </c>
      <c r="BG93" s="28">
        <v>174.98412022275602</v>
      </c>
      <c r="BH93" s="29">
        <v>72.446571740034145</v>
      </c>
      <c r="BI93" s="28">
        <v>175.04127505391511</v>
      </c>
      <c r="BJ93" s="29">
        <v>72.466841445282952</v>
      </c>
      <c r="BK93" s="28">
        <v>175.09844855348095</v>
      </c>
      <c r="BL93" s="29">
        <v>72.487244351057441</v>
      </c>
      <c r="BM93" s="28">
        <v>175.15564072755112</v>
      </c>
      <c r="BN93" s="29">
        <v>72.507779645275207</v>
      </c>
      <c r="BO93" s="28">
        <v>175.21285158222528</v>
      </c>
      <c r="BP93" s="29">
        <v>72.52844641556969</v>
      </c>
      <c r="BQ93" s="28">
        <v>175.27008112360508</v>
      </c>
      <c r="BR93" s="29">
        <v>72.549243646025161</v>
      </c>
      <c r="BS93" s="28">
        <v>175.32732935779404</v>
      </c>
      <c r="BT93" s="29">
        <v>72.570170213977519</v>
      </c>
      <c r="BU93" s="28">
        <v>175.38459629089775</v>
      </c>
      <c r="BV93" s="29">
        <v>72.591224886908037</v>
      </c>
      <c r="BW93" s="28">
        <v>175.44188192902402</v>
      </c>
      <c r="BX93" s="29">
        <v>72.612406319457364</v>
      </c>
      <c r="BY93" s="28">
        <v>175.49918627828222</v>
      </c>
      <c r="BZ93" s="29">
        <v>72.633713050589222</v>
      </c>
      <c r="CA93" s="28">
        <v>175.5565093447841</v>
      </c>
      <c r="CB93" s="29">
        <v>72.655143500939701</v>
      </c>
      <c r="CC93" s="28">
        <v>175.61385113464317</v>
      </c>
      <c r="CD93" s="29">
        <v>72.676695970386845</v>
      </c>
      <c r="CE93" s="28">
        <v>175.67121165397492</v>
      </c>
      <c r="CF93" s="29">
        <v>72.698368635882787</v>
      </c>
      <c r="CG93" s="28">
        <v>175.72859090889716</v>
      </c>
      <c r="CH93" s="29">
        <v>72.720159549593205</v>
      </c>
      <c r="CI93" s="28">
        <v>175.78598890552936</v>
      </c>
      <c r="CJ93" s="29">
        <v>72.742066637391076</v>
      </c>
      <c r="CK93" s="28">
        <v>175.84340564999297</v>
      </c>
      <c r="CL93" s="29">
        <v>72.764087697759578</v>
      </c>
      <c r="CM93" s="28">
        <v>175.90084114841173</v>
      </c>
      <c r="CN93" s="29">
        <v>72.786220401160733</v>
      </c>
      <c r="CO93" s="28">
        <v>175.95829540691125</v>
      </c>
      <c r="CP93" s="29">
        <v>72.808462289929253</v>
      </c>
      <c r="CQ93" s="28">
        <v>176.01576843161902</v>
      </c>
      <c r="CR93" s="29">
        <v>72.830810778759385</v>
      </c>
      <c r="CS93" s="28">
        <v>176.07326022866462</v>
      </c>
      <c r="CT93" s="29">
        <v>72.853263155853099</v>
      </c>
      <c r="CU93" s="28">
        <v>176.13077080417963</v>
      </c>
      <c r="CV93" s="29">
        <v>72.875816584802422</v>
      </c>
      <c r="CW93" s="28">
        <v>176.18830016429774</v>
      </c>
      <c r="CX93" s="29">
        <v>72.898468107283037</v>
      </c>
      <c r="CY93" s="28">
        <v>176.24584831515443</v>
      </c>
      <c r="CZ93" s="29">
        <v>72.921214646636798</v>
      </c>
      <c r="DA93" s="28">
        <v>176.30341526288731</v>
      </c>
      <c r="DB93" s="29">
        <v>72.944053012425414</v>
      </c>
      <c r="DC93" s="28">
        <v>176.36100101363598</v>
      </c>
      <c r="DD93" s="29">
        <v>72.966979906034837</v>
      </c>
      <c r="DE93" s="28">
        <v>176.41860557354207</v>
      </c>
      <c r="DF93" s="29">
        <v>72.989991927411282</v>
      </c>
      <c r="DG93" s="28">
        <v>176.47622894874914</v>
      </c>
      <c r="DH93" s="29">
        <v>73.013085583005875</v>
      </c>
      <c r="DI93" s="28">
        <v>176.53387114540286</v>
      </c>
      <c r="DJ93" s="29">
        <v>73.036257295000212</v>
      </c>
      <c r="DK93" s="28">
        <v>176.59153216965083</v>
      </c>
      <c r="DL93" s="29">
        <v>73.059503411876719</v>
      </c>
      <c r="DM93" s="28">
        <v>176.64921202764282</v>
      </c>
      <c r="DN93" s="29">
        <v>73.082820220387276</v>
      </c>
      <c r="DO93" s="28">
        <v>176.70691072553018</v>
      </c>
      <c r="DP93" s="29">
        <v>73.106203958956812</v>
      </c>
      <c r="DQ93" s="28">
        <v>176.76462826946684</v>
      </c>
      <c r="DR93" s="29">
        <v>73.129650832541756</v>
      </c>
      <c r="DS93" s="28">
        <v>176.82236466560823</v>
      </c>
      <c r="DT93" s="29">
        <v>73.153157028933421</v>
      </c>
      <c r="DU93" s="28">
        <v>176.88011992011218</v>
      </c>
      <c r="DV93" s="29">
        <v>73.176718736471628</v>
      </c>
      <c r="DW93" s="28">
        <v>176.93789403913831</v>
      </c>
      <c r="DX93" s="29">
        <v>73.200332163090721</v>
      </c>
      <c r="DY93" s="28">
        <v>176.99568702884835</v>
      </c>
      <c r="DZ93" s="29">
        <v>73.223993556580339</v>
      </c>
      <c r="EA93" s="28">
        <v>177.05349889540602</v>
      </c>
      <c r="EB93" s="29">
        <v>73.247699225889235</v>
      </c>
      <c r="EC93" s="28">
        <v>177.11132964497696</v>
      </c>
      <c r="ED93" s="29">
        <v>73.271445563243518</v>
      </c>
      <c r="EE93" s="28">
        <v>177.16917928372897</v>
      </c>
      <c r="EF93" s="29">
        <v>73.295229066784927</v>
      </c>
      <c r="EG93" s="28">
        <v>177.22704781783176</v>
      </c>
      <c r="EH93" s="29">
        <v>73.319046363363626</v>
      </c>
      <c r="EI93" s="28">
        <v>177.28493525345712</v>
      </c>
      <c r="EJ93" s="29">
        <v>73.342894231047481</v>
      </c>
      <c r="EK93" s="28">
        <v>177.34284159677881</v>
      </c>
      <c r="EL93" s="29">
        <v>73.366769620833153</v>
      </c>
      <c r="EM93" s="28">
        <v>177.4007668539727</v>
      </c>
      <c r="EN93" s="29">
        <v>73.390669676975008</v>
      </c>
      <c r="EO93" s="28">
        <v>177.45871103121647</v>
      </c>
      <c r="EP93" s="29">
        <v>73.414591755284462</v>
      </c>
      <c r="EQ93" s="28">
        <v>177.51667413469002</v>
      </c>
      <c r="ER93" s="29">
        <v>73.438533438709769</v>
      </c>
      <c r="ES93" s="28">
        <v>177.57465617057522</v>
      </c>
      <c r="ET93" s="29">
        <v>73.462492549484494</v>
      </c>
      <c r="EU93" s="28">
        <v>177.63265714505593</v>
      </c>
      <c r="EV93" s="29">
        <v>73.486467157152688</v>
      </c>
      <c r="EW93" s="28">
        <v>177.69067706431795</v>
      </c>
      <c r="EX93" s="29">
        <v>73.510455581841725</v>
      </c>
      <c r="EY93" s="28">
        <v>177.74871593454938</v>
      </c>
      <c r="EZ93" s="29">
        <v>73.534456392279395</v>
      </c>
      <c r="FA93" s="28">
        <v>177.80677376193992</v>
      </c>
      <c r="FB93" s="29">
        <v>73.558468398239199</v>
      </c>
      <c r="FC93" s="28">
        <v>177.8648505526817</v>
      </c>
      <c r="FD93" s="29">
        <v>73.582490637368437</v>
      </c>
      <c r="FE93" s="28">
        <v>177.92294631296861</v>
      </c>
      <c r="FF93" s="29">
        <v>73.606522356679037</v>
      </c>
      <c r="FG93" s="28">
        <v>177.98106104899662</v>
      </c>
      <c r="FH93" s="29">
        <v>73.630562989376699</v>
      </c>
      <c r="FI93" s="28">
        <v>178.03919476696385</v>
      </c>
      <c r="FJ93" s="29">
        <v>73.654612128110699</v>
      </c>
      <c r="FK93" s="28">
        <v>178.09734747307036</v>
      </c>
      <c r="FL93" s="29">
        <v>73.678669496116299</v>
      </c>
      <c r="FM93" s="28">
        <v>178.15551917351809</v>
      </c>
      <c r="FN93" s="29">
        <v>73.70273491801828</v>
      </c>
      <c r="FO93" s="28">
        <v>178.21370987451121</v>
      </c>
      <c r="FP93" s="29">
        <v>73.72680829219064</v>
      </c>
      <c r="FQ93" s="28">
        <v>178.27191958225578</v>
      </c>
      <c r="FR93" s="29">
        <v>73.750889566451207</v>
      </c>
      <c r="FS93" s="28">
        <v>178.33014830296011</v>
      </c>
      <c r="FT93" s="29">
        <v>73.774978718466798</v>
      </c>
      <c r="FU93" s="28">
        <v>178.38839604283427</v>
      </c>
      <c r="FV93" s="29">
        <v>73.799075741566426</v>
      </c>
      <c r="FW93" s="28">
        <v>178.44666280809037</v>
      </c>
      <c r="FX93" s="29">
        <v>73.823180635818161</v>
      </c>
      <c r="FY93" s="28">
        <v>178.5049486049428</v>
      </c>
      <c r="FZ93" s="29">
        <v>73.847293403419584</v>
      </c>
      <c r="GA93" s="28">
        <v>178.56325343960776</v>
      </c>
      <c r="GB93" s="29">
        <v>73.871414046942334</v>
      </c>
      <c r="GC93" s="28">
        <v>178.62157731830354</v>
      </c>
      <c r="GD93" s="29">
        <v>73.895542568958859</v>
      </c>
      <c r="GE93" s="28">
        <v>178.67992024725052</v>
      </c>
      <c r="GF93" s="29">
        <v>73.919678972042561</v>
      </c>
      <c r="GG93" s="28">
        <v>178.73828223267097</v>
      </c>
      <c r="GH93" s="29">
        <v>73.943823258767537</v>
      </c>
      <c r="GI93" s="28">
        <v>178.79666328078935</v>
      </c>
      <c r="GJ93" s="29">
        <v>73.967975431708922</v>
      </c>
      <c r="GK93" s="28">
        <v>178.85506339783205</v>
      </c>
      <c r="GL93" s="29">
        <v>73.992135493442547</v>
      </c>
      <c r="GM93" s="28">
        <v>178.9134825900276</v>
      </c>
      <c r="GN93" s="29">
        <v>74.016303446545109</v>
      </c>
      <c r="GO93" s="28">
        <v>178.97192086360636</v>
      </c>
      <c r="GP93" s="29">
        <v>74.040479293594089</v>
      </c>
      <c r="GQ93" s="28">
        <v>179.03037822480096</v>
      </c>
      <c r="GR93" s="29">
        <v>74.064663037167961</v>
      </c>
      <c r="GS93" s="28">
        <v>179.08885467984592</v>
      </c>
      <c r="GT93" s="29">
        <v>74.088854679845923</v>
      </c>
    </row>
    <row r="94" spans="19:202" x14ac:dyDescent="0.25">
      <c r="W94" s="28">
        <v>166.50012602722492</v>
      </c>
      <c r="X94" s="29">
        <v>64.725208550121991</v>
      </c>
      <c r="Y94" s="28">
        <v>166.55450974260972</v>
      </c>
      <c r="Z94" s="29">
        <v>64.746349659164991</v>
      </c>
      <c r="AA94" s="28">
        <v>166.60891122127538</v>
      </c>
      <c r="AB94" s="29">
        <v>64.760300388811089</v>
      </c>
      <c r="AC94" s="28">
        <v>166.66333046902395</v>
      </c>
      <c r="AD94" s="29">
        <v>64.773557259505168</v>
      </c>
      <c r="AE94" s="28">
        <v>166.71776749165915</v>
      </c>
      <c r="AF94" s="29">
        <v>64.786875587744973</v>
      </c>
      <c r="AG94" s="28">
        <v>166.7722222949869</v>
      </c>
      <c r="AH94" s="29">
        <v>64.800333799360303</v>
      </c>
      <c r="AI94" s="28">
        <v>166.82669488481474</v>
      </c>
      <c r="AJ94" s="29">
        <v>64.813941127705576</v>
      </c>
      <c r="AK94" s="28">
        <v>166.88118526695257</v>
      </c>
      <c r="AL94" s="29">
        <v>64.82770676392056</v>
      </c>
      <c r="AM94" s="28">
        <v>166.93569344721158</v>
      </c>
      <c r="AN94" s="29">
        <v>64.841633070824855</v>
      </c>
      <c r="AO94" s="28">
        <v>166.99021943140519</v>
      </c>
      <c r="AP94" s="29">
        <v>64.855721933668619</v>
      </c>
      <c r="AQ94" s="28">
        <v>167.04476322534876</v>
      </c>
      <c r="AR94" s="29">
        <v>64.869974559395544</v>
      </c>
      <c r="AS94" s="28">
        <v>167.09932483485943</v>
      </c>
      <c r="AT94" s="29">
        <v>64.884392032834512</v>
      </c>
      <c r="AU94" s="28">
        <v>167.15390426575627</v>
      </c>
      <c r="AV94" s="29">
        <v>64.898975329356887</v>
      </c>
      <c r="AW94" s="28">
        <v>167.20850152386021</v>
      </c>
      <c r="AX94" s="29">
        <v>64.91372535701467</v>
      </c>
      <c r="AY94" s="28">
        <v>167.26311661499412</v>
      </c>
      <c r="AZ94" s="29">
        <v>64.928642955777264</v>
      </c>
      <c r="BA94" s="28">
        <v>167.31774954498289</v>
      </c>
      <c r="BB94" s="29">
        <v>64.943728896490143</v>
      </c>
      <c r="BC94" s="28">
        <v>167.3724003196532</v>
      </c>
      <c r="BD94" s="29">
        <v>64.958983876523277</v>
      </c>
      <c r="BE94" s="28">
        <v>167.42706894483354</v>
      </c>
      <c r="BF94" s="29">
        <v>64.974408515071204</v>
      </c>
      <c r="BG94" s="28">
        <v>167.4817554263544</v>
      </c>
      <c r="BH94" s="29">
        <v>64.990003348046756</v>
      </c>
      <c r="BI94" s="28">
        <v>167.5364597700482</v>
      </c>
      <c r="BJ94" s="29">
        <v>65.005768822755442</v>
      </c>
      <c r="BK94" s="28">
        <v>167.59118198174926</v>
      </c>
      <c r="BL94" s="29">
        <v>65.021705292356032</v>
      </c>
      <c r="BM94" s="28">
        <v>167.64592206729375</v>
      </c>
      <c r="BN94" s="29">
        <v>65.03781301011945</v>
      </c>
      <c r="BO94" s="28">
        <v>167.70068003251981</v>
      </c>
      <c r="BP94" s="29">
        <v>65.054092123490406</v>
      </c>
      <c r="BQ94" s="28">
        <v>167.75545588326747</v>
      </c>
      <c r="BR94" s="29">
        <v>65.070542667958421</v>
      </c>
      <c r="BS94" s="28">
        <v>167.81024962537859</v>
      </c>
      <c r="BT94" s="29">
        <v>65.087164560746771</v>
      </c>
      <c r="BU94" s="28">
        <v>167.86506126469698</v>
      </c>
      <c r="BV94" s="29">
        <v>65.103957594330907</v>
      </c>
      <c r="BW94" s="28">
        <v>167.91989080706855</v>
      </c>
      <c r="BX94" s="29">
        <v>65.120921429800589</v>
      </c>
      <c r="BY94" s="28">
        <v>167.97473825834075</v>
      </c>
      <c r="BZ94" s="29">
        <v>65.138055590082487</v>
      </c>
      <c r="CA94" s="28">
        <v>168.02960362436332</v>
      </c>
      <c r="CB94" s="29">
        <v>65.15535945304741</v>
      </c>
      <c r="CC94" s="28">
        <v>168.08448691098761</v>
      </c>
      <c r="CD94" s="29">
        <v>65.17283224452494</v>
      </c>
      <c r="CE94" s="28">
        <v>168.13938812406695</v>
      </c>
      <c r="CF94" s="29">
        <v>65.19047303126041</v>
      </c>
      <c r="CG94" s="28">
        <v>168.19430726945683</v>
      </c>
      <c r="CH94" s="29">
        <v>65.20828071384885</v>
      </c>
      <c r="CI94" s="28">
        <v>168.24924435301435</v>
      </c>
      <c r="CJ94" s="29">
        <v>65.226254019689904</v>
      </c>
      <c r="CK94" s="28">
        <v>168.3041993805985</v>
      </c>
      <c r="CL94" s="29">
        <v>65.244391496015155</v>
      </c>
      <c r="CM94" s="28">
        <v>168.35917235807048</v>
      </c>
      <c r="CN94" s="29">
        <v>65.262691503046</v>
      </c>
      <c r="CO94" s="28">
        <v>168.41416329129328</v>
      </c>
      <c r="CP94" s="29">
        <v>65.281152207348384</v>
      </c>
      <c r="CQ94" s="28">
        <v>168.46917218613166</v>
      </c>
      <c r="CR94" s="29">
        <v>65.299771575462415</v>
      </c>
      <c r="CS94" s="28">
        <v>168.5241990484524</v>
      </c>
      <c r="CT94" s="29">
        <v>65.318547367893899</v>
      </c>
      <c r="CU94" s="28">
        <v>168.5792438841242</v>
      </c>
      <c r="CV94" s="29">
        <v>65.337477133566381</v>
      </c>
      <c r="CW94" s="28">
        <v>168.63430669901774</v>
      </c>
      <c r="CX94" s="29">
        <v>65.356558204844461</v>
      </c>
      <c r="CY94" s="28">
        <v>168.68938749900548</v>
      </c>
      <c r="CZ94" s="29">
        <v>65.37578769325232</v>
      </c>
      <c r="DA94" s="28">
        <v>168.74448628996186</v>
      </c>
      <c r="DB94" s="29">
        <v>65.395162486025811</v>
      </c>
      <c r="DC94" s="28">
        <v>168.79960307776327</v>
      </c>
      <c r="DD94" s="29">
        <v>65.414679243649942</v>
      </c>
      <c r="DE94" s="28">
        <v>168.85473786828797</v>
      </c>
      <c r="DF94" s="29">
        <v>65.434334398548401</v>
      </c>
      <c r="DG94" s="28">
        <v>168.90989066741616</v>
      </c>
      <c r="DH94" s="29">
        <v>65.454124155107692</v>
      </c>
      <c r="DI94" s="28">
        <v>168.96506148103003</v>
      </c>
      <c r="DJ94" s="29">
        <v>65.474044491231908</v>
      </c>
      <c r="DK94" s="28">
        <v>169.02025031501361</v>
      </c>
      <c r="DL94" s="29">
        <v>65.494091161638465</v>
      </c>
      <c r="DM94" s="28">
        <v>169.07545717525292</v>
      </c>
      <c r="DN94" s="29">
        <v>65.514259703117361</v>
      </c>
      <c r="DO94" s="28">
        <v>169.13068206763566</v>
      </c>
      <c r="DP94" s="29">
        <v>65.534545441986452</v>
      </c>
      <c r="DQ94" s="28">
        <v>169.18592499805189</v>
      </c>
      <c r="DR94" s="29">
        <v>65.554943503982258</v>
      </c>
      <c r="DS94" s="28">
        <v>169.24118597239311</v>
      </c>
      <c r="DT94" s="29">
        <v>65.575448826825237</v>
      </c>
      <c r="DU94" s="28">
        <v>169.29646499655317</v>
      </c>
      <c r="DV94" s="29">
        <v>65.596056175698138</v>
      </c>
      <c r="DW94" s="28">
        <v>169.35176207642755</v>
      </c>
      <c r="DX94" s="29">
        <v>65.616760161857783</v>
      </c>
      <c r="DY94" s="28">
        <v>169.40707721791384</v>
      </c>
      <c r="DZ94" s="29">
        <v>65.637555264582176</v>
      </c>
      <c r="EA94" s="28">
        <v>169.46241042691148</v>
      </c>
      <c r="EB94" s="29">
        <v>65.658435856614048</v>
      </c>
      <c r="EC94" s="28">
        <v>169.51776170932175</v>
      </c>
      <c r="ED94" s="29">
        <v>65.679396233212074</v>
      </c>
      <c r="EE94" s="28">
        <v>169.57313107104801</v>
      </c>
      <c r="EF94" s="29">
        <v>65.700430644848112</v>
      </c>
      <c r="EG94" s="28">
        <v>169.62851851799547</v>
      </c>
      <c r="EH94" s="29">
        <v>65.721533333494065</v>
      </c>
      <c r="EI94" s="28">
        <v>169.68392405607128</v>
      </c>
      <c r="EJ94" s="29">
        <v>65.742698572323718</v>
      </c>
      <c r="EK94" s="28">
        <v>169.73934769118452</v>
      </c>
      <c r="EL94" s="29">
        <v>65.763920708506305</v>
      </c>
      <c r="EM94" s="28">
        <v>169.79478942924626</v>
      </c>
      <c r="EN94" s="29">
        <v>65.785194208591491</v>
      </c>
      <c r="EO94" s="28">
        <v>169.85024927616934</v>
      </c>
      <c r="EP94" s="29">
        <v>65.806513705778301</v>
      </c>
      <c r="EQ94" s="28">
        <v>169.90572723786869</v>
      </c>
      <c r="ER94" s="29">
        <v>65.827874048127939</v>
      </c>
      <c r="ES94" s="28">
        <v>169.9612233202611</v>
      </c>
      <c r="ET94" s="29">
        <v>65.849270346522815</v>
      </c>
      <c r="EU94" s="28">
        <v>170.01673752926533</v>
      </c>
      <c r="EV94" s="29">
        <v>65.870698020914148</v>
      </c>
      <c r="EW94" s="28">
        <v>170.07226987080199</v>
      </c>
      <c r="EX94" s="29">
        <v>65.892152843143478</v>
      </c>
      <c r="EY94" s="28">
        <v>170.1278203507938</v>
      </c>
      <c r="EZ94" s="29">
        <v>65.913630974406487</v>
      </c>
      <c r="FA94" s="28">
        <v>170.18338897516514</v>
      </c>
      <c r="FB94" s="29">
        <v>65.935128995279754</v>
      </c>
      <c r="FC94" s="28">
        <v>170.23897574984264</v>
      </c>
      <c r="FD94" s="29">
        <v>65.956643926204151</v>
      </c>
      <c r="FE94" s="28">
        <v>170.29458068075462</v>
      </c>
      <c r="FF94" s="29">
        <v>65.978173236456655</v>
      </c>
      <c r="FG94" s="28">
        <v>170.35020377383142</v>
      </c>
      <c r="FH94" s="29">
        <v>65.999714840013766</v>
      </c>
      <c r="FI94" s="28">
        <v>170.4058450350054</v>
      </c>
      <c r="FJ94" s="29">
        <v>66.021267077351538</v>
      </c>
      <c r="FK94" s="28">
        <v>170.46150447021077</v>
      </c>
      <c r="FL94" s="29">
        <v>66.042828683173894</v>
      </c>
      <c r="FM94" s="28">
        <v>170.51718208538364</v>
      </c>
      <c r="FN94" s="29">
        <v>66.064398741293644</v>
      </c>
      <c r="FO94" s="28">
        <v>170.57287788646209</v>
      </c>
      <c r="FP94" s="29">
        <v>66.085976629316505</v>
      </c>
      <c r="FQ94" s="28">
        <v>170.62859187938616</v>
      </c>
      <c r="FR94" s="29">
        <v>66.107561957216106</v>
      </c>
      <c r="FS94" s="28">
        <v>170.68432407009797</v>
      </c>
      <c r="FT94" s="29">
        <v>66.12915450503948</v>
      </c>
      <c r="FU94" s="28">
        <v>170.74007446454135</v>
      </c>
      <c r="FV94" s="29">
        <v>66.150754165466111</v>
      </c>
      <c r="FW94" s="28">
        <v>170.79584306866201</v>
      </c>
      <c r="FX94" s="29">
        <v>66.172360896389762</v>
      </c>
      <c r="FY94" s="28">
        <v>170.85162988840796</v>
      </c>
      <c r="FZ94" s="29">
        <v>66.193974686884729</v>
      </c>
      <c r="GA94" s="28">
        <v>170.90743492972885</v>
      </c>
      <c r="GB94" s="29">
        <v>66.215595537063393</v>
      </c>
      <c r="GC94" s="28">
        <v>170.96325819857637</v>
      </c>
      <c r="GD94" s="29">
        <v>66.237223449231649</v>
      </c>
      <c r="GE94" s="28">
        <v>171.01909970090421</v>
      </c>
      <c r="GF94" s="29">
        <v>66.258858425696232</v>
      </c>
      <c r="GG94" s="28">
        <v>171.07495944266788</v>
      </c>
      <c r="GH94" s="29">
        <v>66.280500468764458</v>
      </c>
      <c r="GI94" s="28">
        <v>171.13083742982494</v>
      </c>
      <c r="GJ94" s="29">
        <v>66.30214958074454</v>
      </c>
      <c r="GK94" s="28">
        <v>171.18673366833482</v>
      </c>
      <c r="GL94" s="29">
        <v>66.323805763945302</v>
      </c>
      <c r="GM94" s="28">
        <v>171.24264816415905</v>
      </c>
      <c r="GN94" s="29">
        <v>66.345469020676546</v>
      </c>
      <c r="GO94" s="28">
        <v>171.29858092326083</v>
      </c>
      <c r="GP94" s="29">
        <v>66.367139353248547</v>
      </c>
      <c r="GQ94" s="28">
        <v>171.35453195160557</v>
      </c>
      <c r="GR94" s="29">
        <v>66.388816763972571</v>
      </c>
      <c r="GS94" s="28">
        <v>171.41050125516051</v>
      </c>
      <c r="GT94" s="29">
        <v>66.410501255160511</v>
      </c>
    </row>
    <row r="95" spans="19:202" x14ac:dyDescent="0.25">
      <c r="U95" s="28">
        <v>159.30947359221233</v>
      </c>
      <c r="V95" s="29">
        <v>57.721517096419703</v>
      </c>
      <c r="W95" s="28">
        <v>159.36150863432712</v>
      </c>
      <c r="X95" s="29">
        <v>57.729983003661197</v>
      </c>
      <c r="Y95" s="28">
        <v>159.41356067257871</v>
      </c>
      <c r="Z95" s="29">
        <v>57.737313690072185</v>
      </c>
      <c r="AA95" s="28">
        <v>159.46562971251853</v>
      </c>
      <c r="AB95" s="29">
        <v>57.744658842053703</v>
      </c>
      <c r="AC95" s="28">
        <v>159.51771575969988</v>
      </c>
      <c r="AD95" s="29">
        <v>57.752153231793983</v>
      </c>
      <c r="AE95" s="28">
        <v>159.56981881967769</v>
      </c>
      <c r="AF95" s="29">
        <v>57.759813368155243</v>
      </c>
      <c r="AG95" s="28">
        <v>159.62193889800889</v>
      </c>
      <c r="AH95" s="29">
        <v>57.767643909024081</v>
      </c>
      <c r="AI95" s="28">
        <v>159.67407600025209</v>
      </c>
      <c r="AJ95" s="29">
        <v>57.775648697745766</v>
      </c>
      <c r="AK95" s="28">
        <v>159.72623013196801</v>
      </c>
      <c r="AL95" s="29">
        <v>57.783830364643286</v>
      </c>
      <c r="AM95" s="28">
        <v>159.77840129871876</v>
      </c>
      <c r="AN95" s="29">
        <v>57.792191384754361</v>
      </c>
      <c r="AO95" s="28">
        <v>159.83058950606852</v>
      </c>
      <c r="AP95" s="29">
        <v>57.800734107708799</v>
      </c>
      <c r="AQ95" s="28">
        <v>159.88279475958325</v>
      </c>
      <c r="AR95" s="29">
        <v>57.809460851467428</v>
      </c>
      <c r="AS95" s="28">
        <v>159.93501706483073</v>
      </c>
      <c r="AT95" s="29">
        <v>57.818373907038691</v>
      </c>
      <c r="AU95" s="28">
        <v>159.98725642738052</v>
      </c>
      <c r="AV95" s="29">
        <v>57.827475542932426</v>
      </c>
      <c r="AW95" s="28">
        <v>160.03951285280399</v>
      </c>
      <c r="AX95" s="29">
        <v>57.836768002110659</v>
      </c>
      <c r="AY95" s="28">
        <v>160.09178634667438</v>
      </c>
      <c r="AZ95" s="29">
        <v>57.846253498271032</v>
      </c>
      <c r="BA95" s="28">
        <v>160.1440769145668</v>
      </c>
      <c r="BB95" s="29">
        <v>57.855934211282822</v>
      </c>
      <c r="BC95" s="28">
        <v>160.19638456205814</v>
      </c>
      <c r="BD95" s="29">
        <v>57.865812282249578</v>
      </c>
      <c r="BE95" s="28">
        <v>160.24870929472698</v>
      </c>
      <c r="BF95" s="29">
        <v>57.875889808193719</v>
      </c>
      <c r="BG95" s="28">
        <v>160.30105111815385</v>
      </c>
      <c r="BH95" s="29">
        <v>57.886168836377216</v>
      </c>
      <c r="BI95" s="28">
        <v>160.35341003792109</v>
      </c>
      <c r="BJ95" s="29">
        <v>57.896651358241328</v>
      </c>
      <c r="BK95" s="28">
        <v>160.40578605961286</v>
      </c>
      <c r="BL95" s="29">
        <v>57.907339302948692</v>
      </c>
      <c r="BM95" s="28">
        <v>160.45817918881517</v>
      </c>
      <c r="BN95" s="29">
        <v>57.918234530509309</v>
      </c>
      <c r="BO95" s="28">
        <v>160.51058943111579</v>
      </c>
      <c r="BP95" s="29">
        <v>57.929338824471834</v>
      </c>
      <c r="BQ95" s="28">
        <v>160.56301679210438</v>
      </c>
      <c r="BR95" s="29">
        <v>57.940653884161392</v>
      </c>
      <c r="BS95" s="28">
        <v>160.61546127737233</v>
      </c>
      <c r="BT95" s="29">
        <v>57.952181316446108</v>
      </c>
      <c r="BU95" s="28">
        <v>160.66792289251293</v>
      </c>
      <c r="BV95" s="29">
        <v>57.963922627014917</v>
      </c>
      <c r="BW95" s="28">
        <v>160.72040164312142</v>
      </c>
      <c r="BX95" s="29">
        <v>57.97587921115035</v>
      </c>
      <c r="BY95" s="28">
        <v>160.77289753479454</v>
      </c>
      <c r="BZ95" s="29">
        <v>57.98805234398057</v>
      </c>
      <c r="CA95" s="28">
        <v>160.82541057313122</v>
      </c>
      <c r="CB95" s="29">
        <v>58.00044317019929</v>
      </c>
      <c r="CC95" s="28">
        <v>160.87794076373194</v>
      </c>
      <c r="CD95" s="29">
        <v>58.013052693240979</v>
      </c>
      <c r="CE95" s="28">
        <v>160.93048811219913</v>
      </c>
      <c r="CF95" s="29">
        <v>58.025881763905431</v>
      </c>
      <c r="CG95" s="28">
        <v>160.98305262413712</v>
      </c>
      <c r="CH95" s="29">
        <v>58.038931068427075</v>
      </c>
      <c r="CI95" s="28">
        <v>161.03563430515197</v>
      </c>
      <c r="CJ95" s="29">
        <v>58.052201115990407</v>
      </c>
      <c r="CK95" s="28">
        <v>161.08823316085147</v>
      </c>
      <c r="CL95" s="29">
        <v>58.065692225697767</v>
      </c>
      <c r="CM95" s="28">
        <v>161.14084919684547</v>
      </c>
      <c r="CN95" s="29">
        <v>58.079404513004569</v>
      </c>
      <c r="CO95" s="28">
        <v>161.19348241874562</v>
      </c>
      <c r="CP95" s="29">
        <v>58.093337875641545</v>
      </c>
      <c r="CQ95" s="28">
        <v>161.24613283216524</v>
      </c>
      <c r="CR95" s="29">
        <v>58.107491979057293</v>
      </c>
      <c r="CS95" s="28">
        <v>161.29880044271957</v>
      </c>
      <c r="CT95" s="29">
        <v>58.121866241423987</v>
      </c>
      <c r="CU95" s="28">
        <v>161.35148525602565</v>
      </c>
      <c r="CV95" s="29">
        <v>58.136459818262381</v>
      </c>
      <c r="CW95" s="28">
        <v>161.40418727770253</v>
      </c>
      <c r="CX95" s="29">
        <v>58.151271586759151</v>
      </c>
      <c r="CY95" s="28">
        <v>161.45690651337082</v>
      </c>
      <c r="CZ95" s="29">
        <v>58.166300129866137</v>
      </c>
      <c r="DA95" s="28">
        <v>161.50964296865314</v>
      </c>
      <c r="DB95" s="29">
        <v>58.181543720295203</v>
      </c>
      <c r="DC95" s="28">
        <v>161.56239664917393</v>
      </c>
      <c r="DD95" s="29">
        <v>58.197000304542506</v>
      </c>
      <c r="DE95" s="28">
        <v>161.61516756055943</v>
      </c>
      <c r="DF95" s="29">
        <v>58.212667487107431</v>
      </c>
      <c r="DG95" s="28">
        <v>161.66795570843769</v>
      </c>
      <c r="DH95" s="29">
        <v>58.228542515100038</v>
      </c>
      <c r="DI95" s="28">
        <v>161.72076109843871</v>
      </c>
      <c r="DJ95" s="29">
        <v>58.24462226346823</v>
      </c>
      <c r="DK95" s="28">
        <v>161.7735837361943</v>
      </c>
      <c r="DL95" s="29">
        <v>58.260903221112805</v>
      </c>
      <c r="DM95" s="28">
        <v>161.82642362733804</v>
      </c>
      <c r="DN95" s="29">
        <v>58.277381478204937</v>
      </c>
      <c r="DO95" s="28">
        <v>161.87928077750527</v>
      </c>
      <c r="DP95" s="29">
        <v>58.294052715066123</v>
      </c>
      <c r="DQ95" s="28">
        <v>161.93215519233348</v>
      </c>
      <c r="DR95" s="29">
        <v>58.310912193024542</v>
      </c>
      <c r="DS95" s="28">
        <v>161.98504687746157</v>
      </c>
      <c r="DT95" s="29">
        <v>58.327954747714081</v>
      </c>
      <c r="DU95" s="28">
        <v>162.03795583853071</v>
      </c>
      <c r="DV95" s="29">
        <v>58.345174785344568</v>
      </c>
      <c r="DW95" s="28">
        <v>162.09088208118359</v>
      </c>
      <c r="DX95" s="29">
        <v>58.36256628252562</v>
      </c>
      <c r="DY95" s="28">
        <v>162.14382561106498</v>
      </c>
      <c r="DZ95" s="29">
        <v>58.380122790289441</v>
      </c>
      <c r="EA95" s="28">
        <v>162.19678643382136</v>
      </c>
      <c r="EB95" s="29">
        <v>58.39783744300896</v>
      </c>
      <c r="EC95" s="28">
        <v>162.249764555101</v>
      </c>
      <c r="ED95" s="29">
        <v>58.415702972956751</v>
      </c>
      <c r="EE95" s="28">
        <v>162.30275998055416</v>
      </c>
      <c r="EF95" s="29">
        <v>58.43371173128314</v>
      </c>
      <c r="EG95" s="28">
        <v>162.35577271583284</v>
      </c>
      <c r="EH95" s="29">
        <v>58.451855716205898</v>
      </c>
      <c r="EI95" s="28">
        <v>162.40880276659095</v>
      </c>
      <c r="EJ95" s="29">
        <v>58.470126609191546</v>
      </c>
      <c r="EK95" s="28">
        <v>162.46185013848424</v>
      </c>
      <c r="EL95" s="29">
        <v>58.488515819853497</v>
      </c>
      <c r="EM95" s="28">
        <v>162.51491483717032</v>
      </c>
      <c r="EN95" s="29">
        <v>58.507014540187939</v>
      </c>
      <c r="EO95" s="28">
        <v>162.56799686830851</v>
      </c>
      <c r="EP95" s="29">
        <v>58.525613808596226</v>
      </c>
      <c r="EQ95" s="28">
        <v>162.62109623756015</v>
      </c>
      <c r="ER95" s="29">
        <v>58.54430458388584</v>
      </c>
      <c r="ES95" s="28">
        <v>162.67421295058838</v>
      </c>
      <c r="ET95" s="29">
        <v>58.563077829081251</v>
      </c>
      <c r="EU95" s="28">
        <v>162.72734701305814</v>
      </c>
      <c r="EV95" s="29">
        <v>58.581924604397614</v>
      </c>
      <c r="EW95" s="28">
        <v>162.78049843063624</v>
      </c>
      <c r="EX95" s="29">
        <v>58.600836168115073</v>
      </c>
      <c r="EY95" s="28">
        <v>162.83366720899144</v>
      </c>
      <c r="EZ95" s="29">
        <v>58.619804083333811</v>
      </c>
      <c r="FA95" s="28">
        <v>162.88685335379415</v>
      </c>
      <c r="FB95" s="29">
        <v>58.638820327697822</v>
      </c>
      <c r="FC95" s="28">
        <v>162.94005687071686</v>
      </c>
      <c r="FD95" s="29">
        <v>58.657877402177967</v>
      </c>
      <c r="FE95" s="28">
        <v>162.99327776543373</v>
      </c>
      <c r="FF95" s="29">
        <v>58.676968433957782</v>
      </c>
      <c r="FG95" s="28">
        <v>163.04651604362084</v>
      </c>
      <c r="FH95" s="29">
        <v>58.696087267487854</v>
      </c>
      <c r="FI95" s="28">
        <v>163.09977171095622</v>
      </c>
      <c r="FJ95" s="29">
        <v>58.715228537019598</v>
      </c>
      <c r="FK95" s="28">
        <v>163.1530447731196</v>
      </c>
      <c r="FL95" s="29">
        <v>58.734387713635826</v>
      </c>
      <c r="FM95" s="28">
        <v>163.20633523579264</v>
      </c>
      <c r="FN95" s="29">
        <v>58.753561120251696</v>
      </c>
      <c r="FO95" s="28">
        <v>163.25964310465881</v>
      </c>
      <c r="FP95" s="29">
        <v>58.772745909582959</v>
      </c>
      <c r="FQ95" s="28">
        <v>163.31296838540348</v>
      </c>
      <c r="FR95" s="29">
        <v>58.791940002949048</v>
      </c>
      <c r="FS95" s="28">
        <v>163.36631108371395</v>
      </c>
      <c r="FT95" s="29">
        <v>58.811141992098634</v>
      </c>
      <c r="FU95" s="28">
        <v>163.41967120527929</v>
      </c>
      <c r="FV95" s="29">
        <v>58.830351011751915</v>
      </c>
      <c r="FW95" s="28">
        <v>163.47304875579024</v>
      </c>
      <c r="FX95" s="29">
        <v>58.849566596393871</v>
      </c>
      <c r="FY95" s="28">
        <v>163.52644374093981</v>
      </c>
      <c r="FZ95" s="29">
        <v>58.86878853941657</v>
      </c>
      <c r="GA95" s="28">
        <v>163.57985616642259</v>
      </c>
      <c r="GB95" s="29">
        <v>58.888016773757123</v>
      </c>
      <c r="GC95" s="28">
        <v>163.63328603793502</v>
      </c>
      <c r="GD95" s="29">
        <v>58.907251288590302</v>
      </c>
      <c r="GE95" s="28">
        <v>163.68673336117558</v>
      </c>
      <c r="GF95" s="29">
        <v>58.926492085967617</v>
      </c>
      <c r="GG95" s="28">
        <v>163.74019814184444</v>
      </c>
      <c r="GH95" s="29">
        <v>58.945739167941028</v>
      </c>
      <c r="GI95" s="28">
        <v>163.79368038564371</v>
      </c>
      <c r="GJ95" s="29">
        <v>58.964992536563294</v>
      </c>
      <c r="GK95" s="28">
        <v>163.84718009827736</v>
      </c>
      <c r="GL95" s="29">
        <v>58.984252193887833</v>
      </c>
      <c r="GM95" s="28">
        <v>163.90069728545126</v>
      </c>
      <c r="GN95" s="29">
        <v>59.003518141968783</v>
      </c>
      <c r="GO95" s="28">
        <v>163.95423195287296</v>
      </c>
      <c r="GP95" s="29">
        <v>59.022790382860713</v>
      </c>
      <c r="GQ95" s="28">
        <v>164.0077841062521</v>
      </c>
      <c r="GR95" s="29">
        <v>59.042068918619108</v>
      </c>
      <c r="GS95" s="28">
        <v>164.06135375130012</v>
      </c>
      <c r="GT95" s="29">
        <v>59.061353751300118</v>
      </c>
    </row>
    <row r="96" spans="19:202" x14ac:dyDescent="0.25">
      <c r="S96" s="28">
        <v>152.42936436022828</v>
      </c>
      <c r="T96" s="29">
        <v>51.094260013718156</v>
      </c>
      <c r="U96" s="28">
        <v>152.47915216138767</v>
      </c>
      <c r="V96" s="29">
        <v>51.094993879553328</v>
      </c>
      <c r="W96" s="28">
        <v>152.52895622467054</v>
      </c>
      <c r="X96" s="29">
        <v>51.095654301760462</v>
      </c>
      <c r="Y96" s="28">
        <v>152.57877655538854</v>
      </c>
      <c r="Z96" s="29">
        <v>51.096447156232756</v>
      </c>
      <c r="AA96" s="28">
        <v>152.6286131588551</v>
      </c>
      <c r="AB96" s="29">
        <v>51.097399078725743</v>
      </c>
      <c r="AC96" s="28">
        <v>152.67846604038542</v>
      </c>
      <c r="AD96" s="29">
        <v>51.098516044426823</v>
      </c>
      <c r="AE96" s="28">
        <v>152.72833520529628</v>
      </c>
      <c r="AF96" s="29">
        <v>51.099801946401286</v>
      </c>
      <c r="AG96" s="28">
        <v>152.77822065890632</v>
      </c>
      <c r="AH96" s="29">
        <v>51.101260439418624</v>
      </c>
      <c r="AI96" s="28">
        <v>152.82812240653587</v>
      </c>
      <c r="AJ96" s="29">
        <v>51.102894998552905</v>
      </c>
      <c r="AK96" s="28">
        <v>152.87804045350723</v>
      </c>
      <c r="AL96" s="29">
        <v>51.104709102944383</v>
      </c>
      <c r="AM96" s="28">
        <v>152.927974805144</v>
      </c>
      <c r="AN96" s="29">
        <v>51.106706251670779</v>
      </c>
      <c r="AO96" s="28">
        <v>152.97792546677184</v>
      </c>
      <c r="AP96" s="29">
        <v>51.108889979778077</v>
      </c>
      <c r="AQ96" s="28">
        <v>153.02789244371806</v>
      </c>
      <c r="AR96" s="29">
        <v>51.111263859025705</v>
      </c>
      <c r="AS96" s="28">
        <v>153.07787574131171</v>
      </c>
      <c r="AT96" s="29">
        <v>51.113831497554095</v>
      </c>
      <c r="AU96" s="28">
        <v>153.12787536488358</v>
      </c>
      <c r="AV96" s="29">
        <v>51.116596538037882</v>
      </c>
      <c r="AW96" s="28">
        <v>153.17789131976616</v>
      </c>
      <c r="AX96" s="29">
        <v>51.119562655442742</v>
      </c>
      <c r="AY96" s="28">
        <v>153.22792361129376</v>
      </c>
      <c r="AZ96" s="29">
        <v>51.122733554391431</v>
      </c>
      <c r="BA96" s="28">
        <v>153.27797224480241</v>
      </c>
      <c r="BB96" s="29">
        <v>51.126112966198619</v>
      </c>
      <c r="BC96" s="28">
        <v>153.32803722562991</v>
      </c>
      <c r="BD96" s="29">
        <v>51.129704645553126</v>
      </c>
      <c r="BE96" s="28">
        <v>153.37811855911571</v>
      </c>
      <c r="BF96" s="29">
        <v>51.133512366824277</v>
      </c>
      <c r="BG96" s="28">
        <v>153.42821625060103</v>
      </c>
      <c r="BH96" s="29">
        <v>51.137539919961803</v>
      </c>
      <c r="BI96" s="28">
        <v>153.47833030542887</v>
      </c>
      <c r="BJ96" s="29">
        <v>51.141791105956401</v>
      </c>
      <c r="BK96" s="28">
        <v>153.52846072894397</v>
      </c>
      <c r="BL96" s="29">
        <v>51.1462697318251</v>
      </c>
      <c r="BM96" s="28">
        <v>153.57860752649287</v>
      </c>
      <c r="BN96" s="29">
        <v>51.150979605083947</v>
      </c>
      <c r="BO96" s="28">
        <v>153.62877070342375</v>
      </c>
      <c r="BP96" s="29">
        <v>51.155924527666485</v>
      </c>
      <c r="BQ96" s="28">
        <v>153.67895026508663</v>
      </c>
      <c r="BR96" s="29">
        <v>51.161108289245902</v>
      </c>
      <c r="BS96" s="28">
        <v>153.72914621683313</v>
      </c>
      <c r="BT96" s="29">
        <v>51.166534659913481</v>
      </c>
      <c r="BU96" s="28">
        <v>153.77935856401677</v>
      </c>
      <c r="BV96" s="29">
        <v>51.172207382165666</v>
      </c>
      <c r="BW96" s="28">
        <v>153.8295873119929</v>
      </c>
      <c r="BX96" s="29">
        <v>51.178130162146978</v>
      </c>
      <c r="BY96" s="28">
        <v>153.87983246611827</v>
      </c>
      <c r="BZ96" s="29">
        <v>51.184306660094364</v>
      </c>
      <c r="CA96" s="28">
        <v>153.93009403175179</v>
      </c>
      <c r="CB96" s="29">
        <v>51.190740479926561</v>
      </c>
      <c r="CC96" s="28">
        <v>153.98037201425379</v>
      </c>
      <c r="CD96" s="29">
        <v>51.197435157916104</v>
      </c>
      <c r="CE96" s="28">
        <v>154.03066641898653</v>
      </c>
      <c r="CF96" s="29">
        <v>51.204394150383486</v>
      </c>
      <c r="CG96" s="28">
        <v>154.08097725131404</v>
      </c>
      <c r="CH96" s="29">
        <v>51.211620820346212</v>
      </c>
      <c r="CI96" s="28">
        <v>154.13130451660203</v>
      </c>
      <c r="CJ96" s="29">
        <v>51.21911842305677</v>
      </c>
      <c r="CK96" s="28">
        <v>154.18164822021785</v>
      </c>
      <c r="CL96" s="29">
        <v>51.226890090360094</v>
      </c>
      <c r="CM96" s="28">
        <v>154.23200836753085</v>
      </c>
      <c r="CN96" s="29">
        <v>51.234938813801222</v>
      </c>
      <c r="CO96" s="28">
        <v>154.28238496391205</v>
      </c>
      <c r="CP96" s="29">
        <v>51.243267426412487</v>
      </c>
      <c r="CQ96" s="28">
        <v>154.33277801473412</v>
      </c>
      <c r="CR96" s="29">
        <v>51.251878583111832</v>
      </c>
      <c r="CS96" s="28">
        <v>154.38318752537154</v>
      </c>
      <c r="CT96" s="29">
        <v>51.260774739645548</v>
      </c>
      <c r="CU96" s="28">
        <v>154.43361350120057</v>
      </c>
      <c r="CV96" s="29">
        <v>51.269958130012299</v>
      </c>
      <c r="CW96" s="28">
        <v>154.48405594759927</v>
      </c>
      <c r="CX96" s="29">
        <v>51.279430742311682</v>
      </c>
      <c r="CY96" s="28">
        <v>154.53451486994732</v>
      </c>
      <c r="CZ96" s="29">
        <v>51.289194292968645</v>
      </c>
      <c r="DA96" s="28">
        <v>154.58499027362623</v>
      </c>
      <c r="DB96" s="29">
        <v>51.299250199297866</v>
      </c>
      <c r="DC96" s="28">
        <v>154.63548216401935</v>
      </c>
      <c r="DD96" s="29">
        <v>51.309599550385627</v>
      </c>
      <c r="DE96" s="28">
        <v>154.68599054651168</v>
      </c>
      <c r="DF96" s="29">
        <v>51.320243076288001</v>
      </c>
      <c r="DG96" s="28">
        <v>154.73651542648994</v>
      </c>
      <c r="DH96" s="29">
        <v>51.331181115569812</v>
      </c>
      <c r="DI96" s="28">
        <v>154.78705680934277</v>
      </c>
      <c r="DJ96" s="29">
        <v>51.34241358123947</v>
      </c>
      <c r="DK96" s="28">
        <v>154.83761470046051</v>
      </c>
      <c r="DL96" s="29">
        <v>51.353939925175609</v>
      </c>
      <c r="DM96" s="28">
        <v>154.88818910523523</v>
      </c>
      <c r="DN96" s="29">
        <v>51.365759101189539</v>
      </c>
      <c r="DO96" s="28">
        <v>154.93878002906061</v>
      </c>
      <c r="DP96" s="29">
        <v>51.37786952692732</v>
      </c>
      <c r="DQ96" s="28">
        <v>154.98938747733246</v>
      </c>
      <c r="DR96" s="29">
        <v>51.390269044888306</v>
      </c>
      <c r="DS96" s="28">
        <v>155.04001145544794</v>
      </c>
      <c r="DT96" s="29">
        <v>51.402954882919815</v>
      </c>
      <c r="DU96" s="28">
        <v>155.0906519688063</v>
      </c>
      <c r="DV96" s="29">
        <v>51.415923614655874</v>
      </c>
      <c r="DW96" s="28">
        <v>155.14130902280837</v>
      </c>
      <c r="DX96" s="29">
        <v>51.429171120482906</v>
      </c>
      <c r="DY96" s="28">
        <v>155.19198262285684</v>
      </c>
      <c r="DZ96" s="29">
        <v>51.442692549761837</v>
      </c>
      <c r="EA96" s="28">
        <v>155.24267277435612</v>
      </c>
      <c r="EB96" s="29">
        <v>51.456482285196181</v>
      </c>
      <c r="EC96" s="28">
        <v>155.29337948271234</v>
      </c>
      <c r="ED96" s="29">
        <v>51.470533910424777</v>
      </c>
      <c r="EE96" s="28">
        <v>155.34410275333349</v>
      </c>
      <c r="EF96" s="29">
        <v>51.484840182128359</v>
      </c>
      <c r="EG96" s="28">
        <v>155.39484259162924</v>
      </c>
      <c r="EH96" s="29">
        <v>51.499393008171594</v>
      </c>
      <c r="EI96" s="28">
        <v>155.4455990030111</v>
      </c>
      <c r="EJ96" s="29">
        <v>51.514183433557463</v>
      </c>
      <c r="EK96" s="28">
        <v>155.49637199289231</v>
      </c>
      <c r="EL96" s="29">
        <v>51.529201636236458</v>
      </c>
      <c r="EM96" s="28">
        <v>155.54716156668792</v>
      </c>
      <c r="EN96" s="29">
        <v>51.54443693508243</v>
      </c>
      <c r="EO96" s="28">
        <v>155.59796772981463</v>
      </c>
      <c r="EP96" s="29">
        <v>51.559877812603411</v>
      </c>
      <c r="EQ96" s="28">
        <v>155.64879048769103</v>
      </c>
      <c r="ER96" s="29">
        <v>51.575511955171606</v>
      </c>
      <c r="ES96" s="28">
        <v>155.69962984573746</v>
      </c>
      <c r="ET96" s="29">
        <v>51.591326313699305</v>
      </c>
      <c r="EU96" s="28">
        <v>155.75048580937599</v>
      </c>
      <c r="EV96" s="29">
        <v>51.60730718770693</v>
      </c>
      <c r="EW96" s="28">
        <v>155.80135838403046</v>
      </c>
      <c r="EX96" s="29">
        <v>51.623440335560886</v>
      </c>
      <c r="EY96" s="28">
        <v>155.8522475751266</v>
      </c>
      <c r="EZ96" s="29">
        <v>51.639711113219199</v>
      </c>
      <c r="FA96" s="28">
        <v>155.90315338809168</v>
      </c>
      <c r="FB96" s="29">
        <v>51.656104643009797</v>
      </c>
      <c r="FC96" s="28">
        <v>155.95407582835497</v>
      </c>
      <c r="FD96" s="29">
        <v>51.672606012665526</v>
      </c>
      <c r="FE96" s="28">
        <v>156.00501490134741</v>
      </c>
      <c r="FF96" s="29">
        <v>51.689200502919988</v>
      </c>
      <c r="FG96" s="28">
        <v>156.05597061250168</v>
      </c>
      <c r="FH96" s="29">
        <v>51.705873839327786</v>
      </c>
      <c r="FI96" s="28">
        <v>156.10694296725237</v>
      </c>
      <c r="FJ96" s="29">
        <v>51.722612460540091</v>
      </c>
      <c r="FK96" s="28">
        <v>156.15793197103571</v>
      </c>
      <c r="FL96" s="29">
        <v>51.739403791089899</v>
      </c>
      <c r="FM96" s="28">
        <v>156.20893762928972</v>
      </c>
      <c r="FN96" s="29">
        <v>51.756236502055181</v>
      </c>
      <c r="FO96" s="28">
        <v>156.25995994745423</v>
      </c>
      <c r="FP96" s="29">
        <v>51.773100738310525</v>
      </c>
      <c r="FQ96" s="28">
        <v>156.31099893097087</v>
      </c>
      <c r="FR96" s="29">
        <v>51.78998828742241</v>
      </c>
      <c r="FS96" s="28">
        <v>156.36205458528306</v>
      </c>
      <c r="FT96" s="29">
        <v>51.806892664091265</v>
      </c>
      <c r="FU96" s="28">
        <v>156.41312691583596</v>
      </c>
      <c r="FV96" s="29">
        <v>51.823809087394402</v>
      </c>
      <c r="FW96" s="28">
        <v>156.46421592807636</v>
      </c>
      <c r="FX96" s="29">
        <v>51.840734338107197</v>
      </c>
      <c r="FY96" s="28">
        <v>156.51532162745312</v>
      </c>
      <c r="FZ96" s="29">
        <v>51.857666501541459</v>
      </c>
      <c r="GA96" s="28">
        <v>156.56644401941674</v>
      </c>
      <c r="GB96" s="29">
        <v>51.874604626751307</v>
      </c>
      <c r="GC96" s="28">
        <v>156.6175831094194</v>
      </c>
      <c r="GD96" s="29">
        <v>51.891548360074708</v>
      </c>
      <c r="GE96" s="28">
        <v>156.66873890291524</v>
      </c>
      <c r="GF96" s="29">
        <v>51.908497627707284</v>
      </c>
      <c r="GG96" s="28">
        <v>156.71991140536008</v>
      </c>
      <c r="GH96" s="29">
        <v>51.925452431456662</v>
      </c>
      <c r="GI96" s="28">
        <v>156.77110062221152</v>
      </c>
      <c r="GJ96" s="29">
        <v>51.942412773131117</v>
      </c>
      <c r="GK96" s="28">
        <v>156.822306558929</v>
      </c>
      <c r="GL96" s="29">
        <v>51.959378654539499</v>
      </c>
      <c r="GM96" s="28">
        <v>156.87352922097372</v>
      </c>
      <c r="GN96" s="29">
        <v>51.976350077491254</v>
      </c>
      <c r="GO96" s="28">
        <v>156.92476861380857</v>
      </c>
      <c r="GP96" s="29">
        <v>51.993327043796313</v>
      </c>
      <c r="GQ96" s="28">
        <v>156.97602474289835</v>
      </c>
      <c r="GR96" s="29">
        <v>52.010309555265358</v>
      </c>
      <c r="GS96" s="28">
        <v>157.02729761370964</v>
      </c>
      <c r="GT96" s="29">
        <v>52.027297613709635</v>
      </c>
    </row>
    <row r="97" spans="1:202" x14ac:dyDescent="0.25">
      <c r="Q97" s="28">
        <v>145.84638688052914</v>
      </c>
      <c r="R97" s="29">
        <v>44.859346115825069</v>
      </c>
      <c r="S97" s="28">
        <v>145.89402449248334</v>
      </c>
      <c r="T97" s="29">
        <v>44.852749529447166</v>
      </c>
      <c r="U97" s="28">
        <v>145.94167766424761</v>
      </c>
      <c r="V97" s="29">
        <v>44.846242568436779</v>
      </c>
      <c r="W97" s="28">
        <v>145.98934640090417</v>
      </c>
      <c r="X97" s="29">
        <v>44.839864715568226</v>
      </c>
      <c r="Y97" s="28">
        <v>146.03703070753696</v>
      </c>
      <c r="Z97" s="29">
        <v>44.833623875770584</v>
      </c>
      <c r="AA97" s="28">
        <v>146.08473058923161</v>
      </c>
      <c r="AB97" s="29">
        <v>44.827524397093178</v>
      </c>
      <c r="AC97" s="28">
        <v>146.13244605107539</v>
      </c>
      <c r="AD97" s="29">
        <v>44.821570317467774</v>
      </c>
      <c r="AE97" s="28">
        <v>146.18017709815717</v>
      </c>
      <c r="AF97" s="29">
        <v>44.815765689481609</v>
      </c>
      <c r="AG97" s="28">
        <v>146.22792373556757</v>
      </c>
      <c r="AH97" s="29">
        <v>44.810114614161058</v>
      </c>
      <c r="AI97" s="28">
        <v>146.27568596839876</v>
      </c>
      <c r="AJ97" s="29">
        <v>44.804621275996816</v>
      </c>
      <c r="AK97" s="28">
        <v>146.32346380174485</v>
      </c>
      <c r="AL97" s="29">
        <v>44.79928994934798</v>
      </c>
      <c r="AM97" s="28">
        <v>146.37125724070125</v>
      </c>
      <c r="AN97" s="29">
        <v>44.794125003054198</v>
      </c>
      <c r="AO97" s="28">
        <v>146.41906629036524</v>
      </c>
      <c r="AP97" s="29">
        <v>44.789130902314803</v>
      </c>
      <c r="AQ97" s="28">
        <v>146.46689095583571</v>
      </c>
      <c r="AR97" s="29">
        <v>44.784312210185838</v>
      </c>
      <c r="AS97" s="28">
        <v>146.51473124221329</v>
      </c>
      <c r="AT97" s="29">
        <v>44.779673588744728</v>
      </c>
      <c r="AU97" s="28">
        <v>146.56258715460015</v>
      </c>
      <c r="AV97" s="29">
        <v>44.775219800101176</v>
      </c>
      <c r="AW97" s="28">
        <v>146.61045869810019</v>
      </c>
      <c r="AX97" s="29">
        <v>44.770955707250756</v>
      </c>
      <c r="AY97" s="28">
        <v>146.65834587781902</v>
      </c>
      <c r="AZ97" s="29">
        <v>44.766886274765078</v>
      </c>
      <c r="BA97" s="28">
        <v>146.70624869886385</v>
      </c>
      <c r="BB97" s="29">
        <v>44.76301656929693</v>
      </c>
      <c r="BC97" s="28">
        <v>146.75416716634365</v>
      </c>
      <c r="BD97" s="29">
        <v>44.7593517598768</v>
      </c>
      <c r="BE97" s="28">
        <v>146.80210128536893</v>
      </c>
      <c r="BF97" s="29">
        <v>44.755897117971493</v>
      </c>
      <c r="BG97" s="28">
        <v>146.85005106105194</v>
      </c>
      <c r="BH97" s="29">
        <v>44.752658017274889</v>
      </c>
      <c r="BI97" s="28">
        <v>146.89801649850659</v>
      </c>
      <c r="BJ97" s="29">
        <v>44.749639933195652</v>
      </c>
      <c r="BK97" s="28">
        <v>146.94599760284845</v>
      </c>
      <c r="BL97" s="29">
        <v>44.746848442003689</v>
      </c>
      <c r="BM97" s="28">
        <v>146.99399437919482</v>
      </c>
      <c r="BN97" s="29">
        <v>44.744289219593632</v>
      </c>
      <c r="BO97" s="28">
        <v>147.04200683266461</v>
      </c>
      <c r="BP97" s="29">
        <v>44.741968039818126</v>
      </c>
      <c r="BQ97" s="28">
        <v>147.09003496837843</v>
      </c>
      <c r="BR97" s="29">
        <v>44.739890772340175</v>
      </c>
      <c r="BS97" s="28">
        <v>147.1380787914585</v>
      </c>
      <c r="BT97" s="29">
        <v>44.738063379947071</v>
      </c>
      <c r="BU97" s="28">
        <v>147.18613830702876</v>
      </c>
      <c r="BV97" s="29">
        <v>44.736491915264075</v>
      </c>
      <c r="BW97" s="28">
        <v>147.23421352021495</v>
      </c>
      <c r="BX97" s="29">
        <v>44.735182516798567</v>
      </c>
      <c r="BY97" s="28">
        <v>147.28230443614422</v>
      </c>
      <c r="BZ97" s="29">
        <v>44.734141404238109</v>
      </c>
      <c r="CA97" s="28">
        <v>147.33041105994562</v>
      </c>
      <c r="CB97" s="29">
        <v>44.733374872921004</v>
      </c>
      <c r="CC97" s="28">
        <v>147.37853339674973</v>
      </c>
      <c r="CD97" s="29">
        <v>44.732889287385106</v>
      </c>
      <c r="CE97" s="28">
        <v>147.42667145168889</v>
      </c>
      <c r="CF97" s="29">
        <v>44.732691073896333</v>
      </c>
      <c r="CG97" s="28">
        <v>147.47482522989714</v>
      </c>
      <c r="CH97" s="29">
        <v>44.732786711845563</v>
      </c>
      <c r="CI97" s="28">
        <v>147.52299473651013</v>
      </c>
      <c r="CJ97" s="29">
        <v>44.73318272389303</v>
      </c>
      <c r="CK97" s="28">
        <v>147.57117997666512</v>
      </c>
      <c r="CL97" s="29">
        <v>44.733885664728597</v>
      </c>
      <c r="CM97" s="28">
        <v>147.61938095550124</v>
      </c>
      <c r="CN97" s="29">
        <v>44.734902108303821</v>
      </c>
      <c r="CO97" s="28">
        <v>147.66759767815918</v>
      </c>
      <c r="CP97" s="29">
        <v>44.736238633377582</v>
      </c>
      <c r="CQ97" s="28">
        <v>147.71583014978134</v>
      </c>
      <c r="CR97" s="29">
        <v>44.737901807206001</v>
      </c>
      <c r="CS97" s="28">
        <v>147.7640783755117</v>
      </c>
      <c r="CT97" s="29">
        <v>44.73989816719029</v>
      </c>
      <c r="CU97" s="28">
        <v>147.81234236049607</v>
      </c>
      <c r="CV97" s="29">
        <v>44.74223420028305</v>
      </c>
      <c r="CW97" s="28">
        <v>147.86062210988189</v>
      </c>
      <c r="CX97" s="29">
        <v>44.744916319936706</v>
      </c>
      <c r="CY97" s="28">
        <v>147.90891762881822</v>
      </c>
      <c r="CZ97" s="29">
        <v>44.747950840362897</v>
      </c>
      <c r="DA97" s="28">
        <v>147.95722892245581</v>
      </c>
      <c r="DB97" s="29">
        <v>44.751343947855666</v>
      </c>
      <c r="DC97" s="28">
        <v>148.00555599594722</v>
      </c>
      <c r="DD97" s="29">
        <v>44.75510166891624</v>
      </c>
      <c r="DE97" s="28">
        <v>148.05389885444657</v>
      </c>
      <c r="DF97" s="29">
        <v>44.75922983490225</v>
      </c>
      <c r="DG97" s="28">
        <v>148.10225750310963</v>
      </c>
      <c r="DH97" s="29">
        <v>44.763734042913157</v>
      </c>
      <c r="DI97" s="28">
        <v>148.15063194709398</v>
      </c>
      <c r="DJ97" s="29">
        <v>44.768619612613819</v>
      </c>
      <c r="DK97" s="28">
        <v>148.19902219155887</v>
      </c>
      <c r="DL97" s="29">
        <v>44.773891538690989</v>
      </c>
      <c r="DM97" s="28">
        <v>148.24742824166518</v>
      </c>
      <c r="DN97" s="29">
        <v>44.779554438640531</v>
      </c>
      <c r="DO97" s="28">
        <v>148.29585010257537</v>
      </c>
      <c r="DP97" s="29">
        <v>44.785612495588403</v>
      </c>
      <c r="DQ97" s="28">
        <v>148.34428777945385</v>
      </c>
      <c r="DR97" s="29">
        <v>44.792069395869248</v>
      </c>
      <c r="DS97" s="28">
        <v>148.39274127746643</v>
      </c>
      <c r="DT97" s="29">
        <v>44.798928261115257</v>
      </c>
      <c r="DU97" s="28">
        <v>148.44121060178085</v>
      </c>
      <c r="DV97" s="29">
        <v>44.806191574661547</v>
      </c>
      <c r="DW97" s="28">
        <v>148.48969575756638</v>
      </c>
      <c r="DX97" s="29">
        <v>44.81386110214298</v>
      </c>
      <c r="DY97" s="28">
        <v>148.53819674999409</v>
      </c>
      <c r="DZ97" s="29">
        <v>44.821937806262177</v>
      </c>
      <c r="EA97" s="28">
        <v>148.58671358423663</v>
      </c>
      <c r="EB97" s="29">
        <v>44.83042175584422</v>
      </c>
      <c r="EC97" s="28">
        <v>148.6352462654684</v>
      </c>
      <c r="ED97" s="29">
        <v>44.839312029479444</v>
      </c>
      <c r="EE97" s="28">
        <v>148.68379479886551</v>
      </c>
      <c r="EF97" s="29">
        <v>44.848606614295335</v>
      </c>
      <c r="EG97" s="28">
        <v>148.73235918960566</v>
      </c>
      <c r="EH97" s="29">
        <v>44.858302300708999</v>
      </c>
      <c r="EI97" s="28">
        <v>148.78093944286837</v>
      </c>
      <c r="EJ97" s="29">
        <v>44.868394574406565</v>
      </c>
      <c r="EK97" s="28">
        <v>148.82953556383481</v>
      </c>
      <c r="EL97" s="29">
        <v>44.878877507289175</v>
      </c>
      <c r="EM97" s="28">
        <v>148.87814755768784</v>
      </c>
      <c r="EN97" s="29">
        <v>44.889743649738975</v>
      </c>
      <c r="EO97" s="28">
        <v>148.92677542961192</v>
      </c>
      <c r="EP97" s="29">
        <v>44.900983927305333</v>
      </c>
      <c r="EQ97" s="28">
        <v>148.97541918479331</v>
      </c>
      <c r="ER97" s="29">
        <v>44.912587545810446</v>
      </c>
      <c r="ES97" s="28">
        <v>149.02407882841999</v>
      </c>
      <c r="ET97" s="29">
        <v>44.924541909932266</v>
      </c>
      <c r="EU97" s="28">
        <v>149.0727543656815</v>
      </c>
      <c r="EV97" s="29">
        <v>44.936832561542452</v>
      </c>
      <c r="EW97" s="28">
        <v>149.12144580176923</v>
      </c>
      <c r="EX97" s="29">
        <v>44.949443145440412</v>
      </c>
      <c r="EY97" s="28">
        <v>149.17015314187617</v>
      </c>
      <c r="EZ97" s="29">
        <v>44.962355411576418</v>
      </c>
      <c r="FA97" s="28">
        <v>149.218876391197</v>
      </c>
      <c r="FB97" s="29">
        <v>44.975549264311127</v>
      </c>
      <c r="FC97" s="28">
        <v>149.26761555492817</v>
      </c>
      <c r="FD97" s="29">
        <v>44.989002870540645</v>
      </c>
      <c r="FE97" s="28">
        <v>149.31637063826776</v>
      </c>
      <c r="FF97" s="29">
        <v>45.002692839368855</v>
      </c>
      <c r="FG97" s="28">
        <v>149.36514164641554</v>
      </c>
      <c r="FH97" s="29">
        <v>45.016594486031209</v>
      </c>
      <c r="FI97" s="28">
        <v>149.41392858457306</v>
      </c>
      <c r="FJ97" s="29">
        <v>45.030682191402903</v>
      </c>
      <c r="FK97" s="28">
        <v>149.46273145794353</v>
      </c>
      <c r="FL97" s="29">
        <v>45.044929864898698</v>
      </c>
      <c r="FM97" s="28">
        <v>149.51155027173181</v>
      </c>
      <c r="FN97" s="29">
        <v>45.059311511951833</v>
      </c>
      <c r="FO97" s="28">
        <v>149.56038503114448</v>
      </c>
      <c r="FP97" s="29">
        <v>45.073801896501585</v>
      </c>
      <c r="FQ97" s="28">
        <v>149.60923574138985</v>
      </c>
      <c r="FR97" s="29">
        <v>45.088377273127911</v>
      </c>
      <c r="FS97" s="28">
        <v>149.65810240767797</v>
      </c>
      <c r="FT97" s="29">
        <v>45.103016142381499</v>
      </c>
      <c r="FU97" s="28">
        <v>149.70698503522055</v>
      </c>
      <c r="FV97" s="29">
        <v>45.117699957706037</v>
      </c>
      <c r="FW97" s="28">
        <v>149.75588362923082</v>
      </c>
      <c r="FX97" s="29">
        <v>45.132413687213592</v>
      </c>
      <c r="FY97" s="28">
        <v>149.80479819492408</v>
      </c>
      <c r="FZ97" s="29">
        <v>45.147146116999153</v>
      </c>
      <c r="GA97" s="28">
        <v>149.85372873751709</v>
      </c>
      <c r="GB97" s="29">
        <v>45.161889788869374</v>
      </c>
      <c r="GC97" s="28">
        <v>149.90267526222831</v>
      </c>
      <c r="GD97" s="29">
        <v>45.176640512883637</v>
      </c>
      <c r="GE97" s="28">
        <v>149.951637774278</v>
      </c>
      <c r="GF97" s="29">
        <v>45.191396499070059</v>
      </c>
      <c r="GG97" s="28">
        <v>150.00061627888809</v>
      </c>
      <c r="GH97" s="29">
        <v>45.206157304984693</v>
      </c>
      <c r="GI97" s="28">
        <v>150.04961078128215</v>
      </c>
      <c r="GJ97" s="29">
        <v>45.220922932201745</v>
      </c>
      <c r="GK97" s="28">
        <v>150.09862128668561</v>
      </c>
      <c r="GL97" s="29">
        <v>45.235693382296105</v>
      </c>
      <c r="GM97" s="28">
        <v>150.14764780032547</v>
      </c>
      <c r="GN97" s="29">
        <v>45.250468656842969</v>
      </c>
      <c r="GO97" s="28">
        <v>150.19669032743042</v>
      </c>
      <c r="GP97" s="29">
        <v>45.265248757418128</v>
      </c>
      <c r="GQ97" s="28">
        <v>150.24574887323098</v>
      </c>
      <c r="GR97" s="29">
        <v>45.280033685597978</v>
      </c>
      <c r="GS97" s="28">
        <v>150.29482344295931</v>
      </c>
      <c r="GT97" s="29">
        <v>45.294823442959313</v>
      </c>
    </row>
    <row r="98" spans="1:202" x14ac:dyDescent="0.25">
      <c r="O98" s="28">
        <v>139.54770890362011</v>
      </c>
      <c r="P98" s="29">
        <v>39.031784748840977</v>
      </c>
      <c r="Q98" s="28">
        <v>139.59328918673876</v>
      </c>
      <c r="R98" s="29">
        <v>39.017644594812197</v>
      </c>
      <c r="S98" s="28">
        <v>139.63888435768487</v>
      </c>
      <c r="T98" s="29">
        <v>39.003581506624883</v>
      </c>
      <c r="U98" s="28">
        <v>139.68449442132123</v>
      </c>
      <c r="V98" s="29">
        <v>38.98960537723913</v>
      </c>
      <c r="W98" s="28">
        <v>139.73011938251219</v>
      </c>
      <c r="X98" s="29">
        <v>38.975720614171472</v>
      </c>
      <c r="Y98" s="28">
        <v>139.7757592461237</v>
      </c>
      <c r="Z98" s="29">
        <v>38.961931090753168</v>
      </c>
      <c r="AA98" s="28">
        <v>139.82141401702339</v>
      </c>
      <c r="AB98" s="29">
        <v>38.948240718497502</v>
      </c>
      <c r="AC98" s="28">
        <v>139.86708370008034</v>
      </c>
      <c r="AD98" s="29">
        <v>38.934653510002292</v>
      </c>
      <c r="AE98" s="28">
        <v>139.91276830016531</v>
      </c>
      <c r="AF98" s="29">
        <v>38.921173592245552</v>
      </c>
      <c r="AG98" s="28">
        <v>139.9584678221506</v>
      </c>
      <c r="AH98" s="29">
        <v>38.907805216789384</v>
      </c>
      <c r="AI98" s="28">
        <v>140.00418227091012</v>
      </c>
      <c r="AJ98" s="29">
        <v>38.894552765016414</v>
      </c>
      <c r="AK98" s="28">
        <v>140.04991165131952</v>
      </c>
      <c r="AL98" s="29">
        <v>38.881420752868223</v>
      </c>
      <c r="AM98" s="28">
        <v>140.09565596825576</v>
      </c>
      <c r="AN98" s="29">
        <v>38.868413835207271</v>
      </c>
      <c r="AO98" s="28">
        <v>140.14141522659759</v>
      </c>
      <c r="AP98" s="29">
        <v>38.855536810211369</v>
      </c>
      <c r="AQ98" s="28">
        <v>140.18718943122528</v>
      </c>
      <c r="AR98" s="29">
        <v>38.842794623831608</v>
      </c>
      <c r="AS98" s="28">
        <v>140.23297858702077</v>
      </c>
      <c r="AT98" s="29">
        <v>38.83019237434614</v>
      </c>
      <c r="AU98" s="28">
        <v>140.27878269886747</v>
      </c>
      <c r="AV98" s="29">
        <v>38.81773531701019</v>
      </c>
      <c r="AW98" s="28">
        <v>140.32460177165046</v>
      </c>
      <c r="AX98" s="29">
        <v>38.805428868800249</v>
      </c>
      <c r="AY98" s="28">
        <v>140.37043581025648</v>
      </c>
      <c r="AZ98" s="29">
        <v>38.793278613246358</v>
      </c>
      <c r="BA98" s="28">
        <v>140.41628481957372</v>
      </c>
      <c r="BB98" s="29">
        <v>38.781290305344847</v>
      </c>
      <c r="BC98" s="28">
        <v>140.46214880449213</v>
      </c>
      <c r="BD98" s="29">
        <v>38.769469876542807</v>
      </c>
      <c r="BE98" s="28">
        <v>140.50802776990309</v>
      </c>
      <c r="BF98" s="29">
        <v>38.757823439781646</v>
      </c>
      <c r="BG98" s="28">
        <v>140.55392172069972</v>
      </c>
      <c r="BH98" s="29">
        <v>38.746357294587554</v>
      </c>
      <c r="BI98" s="28">
        <v>140.59983066177659</v>
      </c>
      <c r="BJ98" s="29">
        <v>38.735077932191182</v>
      </c>
      <c r="BK98" s="28">
        <v>140.64575459803001</v>
      </c>
      <c r="BL98" s="29">
        <v>38.723992040658331</v>
      </c>
      <c r="BM98" s="28">
        <v>140.69169353435785</v>
      </c>
      <c r="BN98" s="29">
        <v>38.713106510008451</v>
      </c>
      <c r="BO98" s="28">
        <v>140.73764747565954</v>
      </c>
      <c r="BP98" s="29">
        <v>38.702428437294493</v>
      </c>
      <c r="BQ98" s="28">
        <v>140.78361642683618</v>
      </c>
      <c r="BR98" s="29">
        <v>38.69196513161355</v>
      </c>
      <c r="BS98" s="28">
        <v>140.82960039279035</v>
      </c>
      <c r="BT98" s="29">
        <v>38.681724119011967</v>
      </c>
      <c r="BU98" s="28">
        <v>140.8755993784263</v>
      </c>
      <c r="BV98" s="29">
        <v>38.671713147243707</v>
      </c>
      <c r="BW98" s="28">
        <v>140.92161338865003</v>
      </c>
      <c r="BX98" s="29">
        <v>38.661940190333667</v>
      </c>
      <c r="BY98" s="28">
        <v>140.96764242836886</v>
      </c>
      <c r="BZ98" s="29">
        <v>38.652413452889796</v>
      </c>
      <c r="CA98" s="28">
        <v>141.01368650249191</v>
      </c>
      <c r="CB98" s="29">
        <v>38.643141374101589</v>
      </c>
      <c r="CC98" s="28">
        <v>141.05974561592981</v>
      </c>
      <c r="CD98" s="29">
        <v>38.634132631349829</v>
      </c>
      <c r="CE98" s="28">
        <v>141.10581977359485</v>
      </c>
      <c r="CF98" s="29">
        <v>38.625396143344169</v>
      </c>
      <c r="CG98" s="28">
        <v>141.15190898040092</v>
      </c>
      <c r="CH98" s="29">
        <v>38.616941072691588</v>
      </c>
      <c r="CI98" s="28">
        <v>141.19801324126354</v>
      </c>
      <c r="CJ98" s="29">
        <v>38.608776827784816</v>
      </c>
      <c r="CK98" s="28">
        <v>141.24413256109969</v>
      </c>
      <c r="CL98" s="29">
        <v>38.600913063884228</v>
      </c>
      <c r="CM98" s="28">
        <v>141.29026694482815</v>
      </c>
      <c r="CN98" s="29">
        <v>38.593359683248977</v>
      </c>
      <c r="CO98" s="28">
        <v>141.33641639736919</v>
      </c>
      <c r="CP98" s="29">
        <v>38.586126834151258</v>
      </c>
      <c r="CQ98" s="28">
        <v>141.38258092364475</v>
      </c>
      <c r="CR98" s="29">
        <v>38.579224908586717</v>
      </c>
      <c r="CS98" s="28">
        <v>141.42876052857829</v>
      </c>
      <c r="CT98" s="29">
        <v>38.572664538465723</v>
      </c>
      <c r="CU98" s="28">
        <v>141.47495521709496</v>
      </c>
      <c r="CV98" s="29">
        <v>38.566456590042371</v>
      </c>
      <c r="CW98" s="28">
        <v>141.52116499412151</v>
      </c>
      <c r="CX98" s="29">
        <v>38.560612156303499</v>
      </c>
      <c r="CY98" s="28">
        <v>141.56738986458623</v>
      </c>
      <c r="CZ98" s="29">
        <v>38.555142547003207</v>
      </c>
      <c r="DA98" s="28">
        <v>141.61362983341908</v>
      </c>
      <c r="DB98" s="29">
        <v>38.550059275986385</v>
      </c>
      <c r="DC98" s="28">
        <v>141.65988490555165</v>
      </c>
      <c r="DD98" s="29">
        <v>38.545374045396144</v>
      </c>
      <c r="DE98" s="28">
        <v>141.70615508591712</v>
      </c>
      <c r="DF98" s="29">
        <v>38.541098726308881</v>
      </c>
      <c r="DG98" s="28">
        <v>141.75244037945018</v>
      </c>
      <c r="DH98" s="29">
        <v>38.537245335279849</v>
      </c>
      <c r="DI98" s="28">
        <v>141.79874079108731</v>
      </c>
      <c r="DJ98" s="29">
        <v>38.533826006218206</v>
      </c>
      <c r="DK98" s="28">
        <v>141.84505632576654</v>
      </c>
      <c r="DL98" s="29">
        <v>38.530852956936307</v>
      </c>
      <c r="DM98" s="28">
        <v>141.89138698842746</v>
      </c>
      <c r="DN98" s="29">
        <v>38.528338449639385</v>
      </c>
      <c r="DO98" s="28">
        <v>141.93773278401125</v>
      </c>
      <c r="DP98" s="29">
        <v>38.526294744534738</v>
      </c>
      <c r="DQ98" s="28">
        <v>141.98409371746084</v>
      </c>
      <c r="DR98" s="29">
        <v>38.52473404564514</v>
      </c>
      <c r="DS98" s="28">
        <v>142.03046979372056</v>
      </c>
      <c r="DT98" s="29">
        <v>38.523668437811139</v>
      </c>
      <c r="DU98" s="28">
        <v>142.07686101773663</v>
      </c>
      <c r="DV98" s="29">
        <v>38.523109813762645</v>
      </c>
      <c r="DW98" s="28">
        <v>142.12326739445666</v>
      </c>
      <c r="DX98" s="29">
        <v>38.523069790030327</v>
      </c>
      <c r="DY98" s="28">
        <v>142.16968892883003</v>
      </c>
      <c r="DZ98" s="29">
        <v>38.523559610363371</v>
      </c>
      <c r="EA98" s="28">
        <v>142.21612562580759</v>
      </c>
      <c r="EB98" s="29">
        <v>38.524590035215567</v>
      </c>
      <c r="EC98" s="28">
        <v>142.26257749034193</v>
      </c>
      <c r="ED98" s="29">
        <v>38.52617121577763</v>
      </c>
      <c r="EE98" s="28">
        <v>142.30904452738719</v>
      </c>
      <c r="EF98" s="29">
        <v>38.528312550967904</v>
      </c>
      <c r="EG98" s="28">
        <v>142.3555267418991</v>
      </c>
      <c r="EH98" s="29">
        <v>38.531022525771171</v>
      </c>
      <c r="EI98" s="28">
        <v>142.40202413883509</v>
      </c>
      <c r="EJ98" s="29">
        <v>38.534308529351605</v>
      </c>
      <c r="EK98" s="28">
        <v>142.44853672315423</v>
      </c>
      <c r="EL98" s="29">
        <v>38.538176651488897</v>
      </c>
      <c r="EM98" s="28">
        <v>142.49506449981715</v>
      </c>
      <c r="EN98" s="29">
        <v>38.542631456138146</v>
      </c>
      <c r="EO98" s="28">
        <v>142.541607473786</v>
      </c>
      <c r="EP98" s="29">
        <v>38.547675731339133</v>
      </c>
      <c r="EQ98" s="28">
        <v>142.58816565002473</v>
      </c>
      <c r="ER98" s="29">
        <v>38.553310215368512</v>
      </c>
      <c r="ES98" s="28">
        <v>142.63473903349885</v>
      </c>
      <c r="ET98" s="29">
        <v>38.559533300021485</v>
      </c>
      <c r="EU98" s="28">
        <v>142.68132762917543</v>
      </c>
      <c r="EV98" s="29">
        <v>38.566340713339208</v>
      </c>
      <c r="EW98" s="28">
        <v>142.72793144202325</v>
      </c>
      <c r="EX98" s="29">
        <v>38.573725186093277</v>
      </c>
      <c r="EY98" s="28">
        <v>142.7745504770127</v>
      </c>
      <c r="EZ98" s="29">
        <v>38.581676109063459</v>
      </c>
      <c r="FA98" s="28">
        <v>142.82118473911567</v>
      </c>
      <c r="FB98" s="29">
        <v>38.590179191784706</v>
      </c>
      <c r="FC98" s="28">
        <v>142.86783423330587</v>
      </c>
      <c r="FD98" s="29">
        <v>38.599216138187522</v>
      </c>
      <c r="FE98" s="28">
        <v>142.9144989645585</v>
      </c>
      <c r="FF98" s="29">
        <v>38.60876436059494</v>
      </c>
      <c r="FG98" s="28">
        <v>142.96117893785041</v>
      </c>
      <c r="FH98" s="29">
        <v>38.61879676098269</v>
      </c>
      <c r="FI98" s="28">
        <v>143.00787415816009</v>
      </c>
      <c r="FJ98" s="29">
        <v>38.629281617193257</v>
      </c>
      <c r="FK98" s="28">
        <v>143.0545846304677</v>
      </c>
      <c r="FL98" s="29">
        <v>38.640182621532361</v>
      </c>
      <c r="FM98" s="28">
        <v>143.10131035975493</v>
      </c>
      <c r="FN98" s="29">
        <v>38.651459128873356</v>
      </c>
      <c r="FO98" s="28">
        <v>143.14805135100514</v>
      </c>
      <c r="FP98" s="29">
        <v>38.663066679066262</v>
      </c>
      <c r="FQ98" s="28">
        <v>143.19480760920334</v>
      </c>
      <c r="FR98" s="29">
        <v>38.67495786057318</v>
      </c>
      <c r="FS98" s="28">
        <v>143.24157913933618</v>
      </c>
      <c r="FT98" s="29">
        <v>38.687083573160145</v>
      </c>
      <c r="FU98" s="28">
        <v>143.28836594639193</v>
      </c>
      <c r="FV98" s="29">
        <v>38.699394718836551</v>
      </c>
      <c r="FW98" s="28">
        <v>143.33516803536034</v>
      </c>
      <c r="FX98" s="29">
        <v>38.711844291312431</v>
      </c>
      <c r="FY98" s="28">
        <v>143.38198541123305</v>
      </c>
      <c r="FZ98" s="29">
        <v>38.72438973411704</v>
      </c>
      <c r="GA98" s="28">
        <v>143.42881807900318</v>
      </c>
      <c r="GB98" s="29">
        <v>38.736995291633662</v>
      </c>
      <c r="GC98" s="28">
        <v>143.47566604366546</v>
      </c>
      <c r="GD98" s="29">
        <v>38.74963390175013</v>
      </c>
      <c r="GE98" s="28">
        <v>143.5225293102163</v>
      </c>
      <c r="GF98" s="29">
        <v>38.762288035008382</v>
      </c>
      <c r="GG98" s="28">
        <v>143.56940788365378</v>
      </c>
      <c r="GH98" s="29">
        <v>38.774948909750407</v>
      </c>
      <c r="GI98" s="28">
        <v>143.61630176897751</v>
      </c>
      <c r="GJ98" s="29">
        <v>38.78761391989714</v>
      </c>
      <c r="GK98" s="28">
        <v>143.66321097118885</v>
      </c>
      <c r="GL98" s="29">
        <v>38.800283066799345</v>
      </c>
      <c r="GM98" s="28">
        <v>143.71013549529073</v>
      </c>
      <c r="GN98" s="29">
        <v>38.812956351808246</v>
      </c>
      <c r="GO98" s="28">
        <v>143.75707534628762</v>
      </c>
      <c r="GP98" s="29">
        <v>38.825633776275367</v>
      </c>
      <c r="GQ98" s="28">
        <v>143.80403052918584</v>
      </c>
      <c r="GR98" s="29">
        <v>38.83831534155285</v>
      </c>
      <c r="GS98" s="28">
        <v>143.8510010489932</v>
      </c>
      <c r="GT98" s="29">
        <v>38.851001048993197</v>
      </c>
    </row>
    <row r="99" spans="1:202" x14ac:dyDescent="0.25">
      <c r="M99" s="28">
        <v>133.52105236725109</v>
      </c>
      <c r="N99" s="29">
        <v>33.627698163802066</v>
      </c>
      <c r="O99" s="28">
        <v>133.56466417153663</v>
      </c>
      <c r="P99" s="29">
        <v>33.605966277953016</v>
      </c>
      <c r="Q99" s="28">
        <v>133.60829022068799</v>
      </c>
      <c r="R99" s="29">
        <v>33.584253869294322</v>
      </c>
      <c r="S99" s="28">
        <v>133.65193051935793</v>
      </c>
      <c r="T99" s="29">
        <v>33.562564878946588</v>
      </c>
      <c r="U99" s="28">
        <v>133.6955850722008</v>
      </c>
      <c r="V99" s="29">
        <v>33.54090236693569</v>
      </c>
      <c r="W99" s="28">
        <v>133.73925388387235</v>
      </c>
      <c r="X99" s="29">
        <v>33.519269390274687</v>
      </c>
      <c r="Y99" s="28">
        <v>133.78293695902994</v>
      </c>
      <c r="Z99" s="29">
        <v>33.49766910790256</v>
      </c>
      <c r="AA99" s="28">
        <v>133.82663430233248</v>
      </c>
      <c r="AB99" s="29">
        <v>33.476104796794466</v>
      </c>
      <c r="AC99" s="28">
        <v>133.87034591844031</v>
      </c>
      <c r="AD99" s="29">
        <v>33.454579859390101</v>
      </c>
      <c r="AE99" s="28">
        <v>133.91407181201535</v>
      </c>
      <c r="AF99" s="29">
        <v>33.433097830100905</v>
      </c>
      <c r="AG99" s="28">
        <v>133.95781198772099</v>
      </c>
      <c r="AH99" s="29">
        <v>33.411662381121076</v>
      </c>
      <c r="AI99" s="28">
        <v>134.00156645022221</v>
      </c>
      <c r="AJ99" s="29">
        <v>33.390277328332431</v>
      </c>
      <c r="AK99" s="28">
        <v>134.04533520418556</v>
      </c>
      <c r="AL99" s="29">
        <v>33.368946637383196</v>
      </c>
      <c r="AM99" s="28">
        <v>134.08911825427896</v>
      </c>
      <c r="AN99" s="29">
        <v>33.347674430027254</v>
      </c>
      <c r="AO99" s="28">
        <v>134.13291560517195</v>
      </c>
      <c r="AP99" s="29">
        <v>33.32646499074697</v>
      </c>
      <c r="AQ99" s="28">
        <v>134.17672726153558</v>
      </c>
      <c r="AR99" s="29">
        <v>33.305322773678682</v>
      </c>
      <c r="AS99" s="28">
        <v>134.22055322804246</v>
      </c>
      <c r="AT99" s="29">
        <v>33.284252409856592</v>
      </c>
      <c r="AU99" s="28">
        <v>134.26439350936664</v>
      </c>
      <c r="AV99" s="29">
        <v>33.263258714789387</v>
      </c>
      <c r="AW99" s="28">
        <v>134.30824811018377</v>
      </c>
      <c r="AX99" s="29">
        <v>33.242346696385304</v>
      </c>
      <c r="AY99" s="28">
        <v>134.35211703517103</v>
      </c>
      <c r="AZ99" s="29">
        <v>33.221521563240309</v>
      </c>
      <c r="BA99" s="28">
        <v>134.39600028900708</v>
      </c>
      <c r="BB99" s="29">
        <v>33.200788733305316</v>
      </c>
      <c r="BC99" s="28">
        <v>134.43989787637216</v>
      </c>
      <c r="BD99" s="29">
        <v>33.18015384294867</v>
      </c>
      <c r="BE99" s="28">
        <v>134.48380980194798</v>
      </c>
      <c r="BF99" s="29">
        <v>33.159622756429698</v>
      </c>
      <c r="BG99" s="28">
        <v>134.52773607041786</v>
      </c>
      <c r="BH99" s="29">
        <v>33.139201575800179</v>
      </c>
      <c r="BI99" s="28">
        <v>134.57167668646653</v>
      </c>
      <c r="BJ99" s="29">
        <v>33.118896651249443</v>
      </c>
      <c r="BK99" s="28">
        <v>134.61563165478032</v>
      </c>
      <c r="BL99" s="29">
        <v>33.098714591910031</v>
      </c>
      <c r="BM99" s="28">
        <v>134.65960098004717</v>
      </c>
      <c r="BN99" s="29">
        <v>33.078662277139451</v>
      </c>
      <c r="BO99" s="28">
        <v>134.7035846669564</v>
      </c>
      <c r="BP99" s="29">
        <v>33.058746868293042</v>
      </c>
      <c r="BQ99" s="28">
        <v>134.74758272019901</v>
      </c>
      <c r="BR99" s="29">
        <v>33.03897582100376</v>
      </c>
      <c r="BS99" s="28">
        <v>134.79159514446738</v>
      </c>
      <c r="BT99" s="29">
        <v>33.019356897980479</v>
      </c>
      <c r="BU99" s="28">
        <v>134.83562194445548</v>
      </c>
      <c r="BV99" s="29">
        <v>32.999898182338491</v>
      </c>
      <c r="BW99" s="28">
        <v>134.87966312485898</v>
      </c>
      <c r="BX99" s="29">
        <v>32.980608091470955</v>
      </c>
      <c r="BY99" s="28">
        <v>134.92371869037478</v>
      </c>
      <c r="BZ99" s="29">
        <v>32.961495391468468</v>
      </c>
      <c r="CA99" s="28">
        <v>134.96778864570155</v>
      </c>
      <c r="CB99" s="29">
        <v>32.942569212092096</v>
      </c>
      <c r="CC99" s="28">
        <v>135.01187299553933</v>
      </c>
      <c r="CD99" s="29">
        <v>32.92383906229793</v>
      </c>
      <c r="CE99" s="28">
        <v>135.05597174458987</v>
      </c>
      <c r="CF99" s="29">
        <v>32.905314846309537</v>
      </c>
      <c r="CG99" s="28">
        <v>135.10008489755634</v>
      </c>
      <c r="CH99" s="29">
        <v>32.887006880226089</v>
      </c>
      <c r="CI99" s="28">
        <v>135.14421245914352</v>
      </c>
      <c r="CJ99" s="29">
        <v>32.868925909147286</v>
      </c>
      <c r="CK99" s="28">
        <v>135.18835443405754</v>
      </c>
      <c r="CL99" s="29">
        <v>32.851083124787031</v>
      </c>
      <c r="CM99" s="28">
        <v>135.23251082700634</v>
      </c>
      <c r="CN99" s="29">
        <v>32.833490183536341</v>
      </c>
      <c r="CO99" s="28">
        <v>135.27668164269923</v>
      </c>
      <c r="CP99" s="29">
        <v>32.816159224921776</v>
      </c>
      <c r="CQ99" s="28">
        <v>135.32086688584707</v>
      </c>
      <c r="CR99" s="29">
        <v>32.799102890390671</v>
      </c>
      <c r="CS99" s="28">
        <v>135.36506656116231</v>
      </c>
      <c r="CT99" s="29">
        <v>32.782334342333883</v>
      </c>
      <c r="CU99" s="28">
        <v>135.40928067335886</v>
      </c>
      <c r="CV99" s="29">
        <v>32.765867283232957</v>
      </c>
      <c r="CW99" s="28">
        <v>135.45350922715227</v>
      </c>
      <c r="CX99" s="29">
        <v>32.749715974791521</v>
      </c>
      <c r="CY99" s="28">
        <v>135.49775222725955</v>
      </c>
      <c r="CZ99" s="29">
        <v>32.733895256875776</v>
      </c>
      <c r="DA99" s="28">
        <v>135.54200967839927</v>
      </c>
      <c r="DB99" s="29">
        <v>32.718420566049623</v>
      </c>
      <c r="DC99" s="28">
        <v>135.5862815852916</v>
      </c>
      <c r="DD99" s="29">
        <v>32.703307953441602</v>
      </c>
      <c r="DE99" s="28">
        <v>135.63056795265817</v>
      </c>
      <c r="DF99" s="29">
        <v>32.688574101623161</v>
      </c>
      <c r="DG99" s="28">
        <v>135.67486878522215</v>
      </c>
      <c r="DH99" s="29">
        <v>32.674236340111136</v>
      </c>
      <c r="DI99" s="28">
        <v>135.71918408770833</v>
      </c>
      <c r="DJ99" s="29">
        <v>32.660312659024562</v>
      </c>
      <c r="DK99" s="28">
        <v>135.76351386484302</v>
      </c>
      <c r="DL99" s="29">
        <v>32.646821720330983</v>
      </c>
      <c r="DM99" s="28">
        <v>135.80785812135406</v>
      </c>
      <c r="DN99" s="29">
        <v>32.633782866002676</v>
      </c>
      <c r="DO99" s="28">
        <v>135.85221686197076</v>
      </c>
      <c r="DP99" s="29">
        <v>32.621216122267938</v>
      </c>
      <c r="DQ99" s="28">
        <v>135.89659009142414</v>
      </c>
      <c r="DR99" s="29">
        <v>32.609142198982184</v>
      </c>
      <c r="DS99" s="28">
        <v>135.94097781444654</v>
      </c>
      <c r="DT99" s="29">
        <v>32.597582482952397</v>
      </c>
      <c r="DU99" s="28">
        <v>135.9853800357721</v>
      </c>
      <c r="DV99" s="29">
        <v>32.586559023826489</v>
      </c>
      <c r="DW99" s="28">
        <v>136.02979676013632</v>
      </c>
      <c r="DX99" s="29">
        <v>32.576094510890897</v>
      </c>
      <c r="DY99" s="28">
        <v>136.07422799227635</v>
      </c>
      <c r="DZ99" s="29">
        <v>32.566212238811552</v>
      </c>
      <c r="EA99" s="28">
        <v>136.11867373693079</v>
      </c>
      <c r="EB99" s="29">
        <v>32.556936059985652</v>
      </c>
      <c r="EC99" s="28">
        <v>136.1631339988399</v>
      </c>
      <c r="ED99" s="29">
        <v>32.548290320745139</v>
      </c>
      <c r="EE99" s="28">
        <v>136.20760878274538</v>
      </c>
      <c r="EF99" s="29">
        <v>32.540299778155664</v>
      </c>
      <c r="EG99" s="28">
        <v>136.25209809339054</v>
      </c>
      <c r="EH99" s="29">
        <v>32.532989493581013</v>
      </c>
      <c r="EI99" s="28">
        <v>136.29660193552024</v>
      </c>
      <c r="EJ99" s="29">
        <v>32.526384698523202</v>
      </c>
      <c r="EK99" s="28">
        <v>136.34112031388091</v>
      </c>
      <c r="EL99" s="29">
        <v>32.520510627501878</v>
      </c>
      <c r="EM99" s="28">
        <v>136.38565323322049</v>
      </c>
      <c r="EN99" s="29">
        <v>32.515392311902083</v>
      </c>
      <c r="EO99" s="28">
        <v>136.43020069828844</v>
      </c>
      <c r="EP99" s="29">
        <v>32.511054327804615</v>
      </c>
      <c r="EQ99" s="28">
        <v>136.47476271383584</v>
      </c>
      <c r="ER99" s="29">
        <v>32.507520489843365</v>
      </c>
      <c r="ES99" s="28">
        <v>136.51933928461528</v>
      </c>
      <c r="ET99" s="29">
        <v>32.50481348214921</v>
      </c>
      <c r="EU99" s="28">
        <v>136.56393041538092</v>
      </c>
      <c r="EV99" s="29">
        <v>32.502954416521277</v>
      </c>
      <c r="EW99" s="28">
        <v>136.60853611088848</v>
      </c>
      <c r="EX99" s="29">
        <v>32.501962307237307</v>
      </c>
      <c r="EY99" s="28">
        <v>136.65315637589524</v>
      </c>
      <c r="EZ99" s="29">
        <v>32.501853451581326</v>
      </c>
      <c r="FA99" s="28">
        <v>136.69779121515995</v>
      </c>
      <c r="FB99" s="29">
        <v>32.50264070554028</v>
      </c>
      <c r="FC99" s="28">
        <v>136.74244063344304</v>
      </c>
      <c r="FD99" s="29">
        <v>32.504332645677593</v>
      </c>
      <c r="FE99" s="28">
        <v>136.78710463550644</v>
      </c>
      <c r="FF99" s="29">
        <v>32.506932611625629</v>
      </c>
      <c r="FG99" s="28">
        <v>136.83178322611357</v>
      </c>
      <c r="FH99" s="29">
        <v>32.510437629965658</v>
      </c>
      <c r="FI99" s="28">
        <v>136.87647641002954</v>
      </c>
      <c r="FJ99" s="29">
        <v>32.514837230895246</v>
      </c>
      <c r="FK99" s="28">
        <v>136.92118419202092</v>
      </c>
      <c r="FL99" s="29">
        <v>32.520112185942828</v>
      </c>
      <c r="FM99" s="28">
        <v>136.96590657685584</v>
      </c>
      <c r="FN99" s="29">
        <v>32.526233220561473</v>
      </c>
      <c r="FO99" s="28">
        <v>137.01064356930399</v>
      </c>
      <c r="FP99" s="29">
        <v>32.533159792654963</v>
      </c>
      <c r="FQ99" s="28">
        <v>137.05539517413666</v>
      </c>
      <c r="FR99" s="29">
        <v>32.540839079927252</v>
      </c>
      <c r="FS99" s="28">
        <v>137.10016139612671</v>
      </c>
      <c r="FT99" s="29">
        <v>32.549205387205063</v>
      </c>
      <c r="FU99" s="28">
        <v>137.14494224004852</v>
      </c>
      <c r="FV99" s="29">
        <v>32.55818026762546</v>
      </c>
      <c r="FW99" s="28">
        <v>137.18973771067792</v>
      </c>
      <c r="FX99" s="29">
        <v>32.567673738044157</v>
      </c>
      <c r="FY99" s="28">
        <v>137.23454781279253</v>
      </c>
      <c r="FZ99" s="29">
        <v>32.5775870307098</v>
      </c>
      <c r="GA99" s="28">
        <v>137.27937255117141</v>
      </c>
      <c r="GB99" s="29">
        <v>32.587817300236857</v>
      </c>
      <c r="GC99" s="28">
        <v>137.32421193059508</v>
      </c>
      <c r="GD99" s="29">
        <v>32.59826448974718</v>
      </c>
      <c r="GE99" s="28">
        <v>137.36906595584583</v>
      </c>
      <c r="GF99" s="29">
        <v>32.608839992386628</v>
      </c>
      <c r="GG99" s="28">
        <v>137.41393463170738</v>
      </c>
      <c r="GH99" s="29">
        <v>32.61947565780401</v>
      </c>
      <c r="GI99" s="28">
        <v>137.45881796296499</v>
      </c>
      <c r="GJ99" s="29">
        <v>32.630130113884618</v>
      </c>
      <c r="GK99" s="28">
        <v>137.50371595440561</v>
      </c>
      <c r="GL99" s="29">
        <v>32.640788050016113</v>
      </c>
      <c r="GM99" s="28">
        <v>137.54862861081764</v>
      </c>
      <c r="GN99" s="29">
        <v>32.651449467335183</v>
      </c>
      <c r="GO99" s="28">
        <v>137.59355593699104</v>
      </c>
      <c r="GP99" s="29">
        <v>32.662114366978791</v>
      </c>
      <c r="GQ99" s="28">
        <v>137.63849793771743</v>
      </c>
      <c r="GR99" s="29">
        <v>32.672782750084458</v>
      </c>
      <c r="GS99" s="28">
        <v>137.68345461778995</v>
      </c>
      <c r="GT99" s="29">
        <v>32.683454617789948</v>
      </c>
    </row>
    <row r="100" spans="1:202" x14ac:dyDescent="0.25">
      <c r="K100" s="28">
        <v>127.75466946269383</v>
      </c>
      <c r="L100" s="29">
        <v>28.662904823474292</v>
      </c>
      <c r="M100" s="28">
        <v>127.79639780097752</v>
      </c>
      <c r="N100" s="29">
        <v>28.633895858805381</v>
      </c>
      <c r="O100" s="28">
        <v>127.838139768933</v>
      </c>
      <c r="P100" s="29">
        <v>28.604832505114786</v>
      </c>
      <c r="Q100" s="28">
        <v>127.87989537101211</v>
      </c>
      <c r="R100" s="29">
        <v>28.575716489325615</v>
      </c>
      <c r="S100" s="28">
        <v>127.92166461166818</v>
      </c>
      <c r="T100" s="29">
        <v>28.546549445677758</v>
      </c>
      <c r="U100" s="28">
        <v>127.96344749535595</v>
      </c>
      <c r="V100" s="29">
        <v>28.517333074189619</v>
      </c>
      <c r="W100" s="28">
        <v>128.00524402653159</v>
      </c>
      <c r="X100" s="29">
        <v>28.488069162826811</v>
      </c>
      <c r="Y100" s="28">
        <v>128.0470542096528</v>
      </c>
      <c r="Z100" s="29">
        <v>28.458759594277293</v>
      </c>
      <c r="AA100" s="28">
        <v>128.0888780491787</v>
      </c>
      <c r="AB100" s="29">
        <v>28.429406351317578</v>
      </c>
      <c r="AC100" s="28">
        <v>128.13071554956983</v>
      </c>
      <c r="AD100" s="29">
        <v>28.400011522140176</v>
      </c>
      <c r="AE100" s="28">
        <v>128.17256671528824</v>
      </c>
      <c r="AF100" s="29">
        <v>28.370577305789194</v>
      </c>
      <c r="AG100" s="28">
        <v>128.21443155079737</v>
      </c>
      <c r="AH100" s="29">
        <v>28.341106017862188</v>
      </c>
      <c r="AI100" s="28">
        <v>128.25631006056224</v>
      </c>
      <c r="AJ100" s="29">
        <v>28.311600096518809</v>
      </c>
      <c r="AK100" s="28">
        <v>128.29820224904924</v>
      </c>
      <c r="AL100" s="29">
        <v>28.282062108829958</v>
      </c>
      <c r="AM100" s="28">
        <v>128.3401081207262</v>
      </c>
      <c r="AN100" s="29">
        <v>28.252494757492613</v>
      </c>
      <c r="AO100" s="28">
        <v>128.38202768006246</v>
      </c>
      <c r="AP100" s="29">
        <v>28.222900887934749</v>
      </c>
      <c r="AQ100" s="28">
        <v>128.42396093152882</v>
      </c>
      <c r="AR100" s="29">
        <v>28.193283495836436</v>
      </c>
      <c r="AS100" s="28">
        <v>128.46590787959749</v>
      </c>
      <c r="AT100" s="29">
        <v>28.16364573509393</v>
      </c>
      <c r="AU100" s="28">
        <v>128.50786852874219</v>
      </c>
      <c r="AV100" s="29">
        <v>28.133990926256708</v>
      </c>
      <c r="AW100" s="28">
        <v>128.54984288343806</v>
      </c>
      <c r="AX100" s="29">
        <v>28.104322565467967</v>
      </c>
      <c r="AY100" s="28">
        <v>128.59183094816177</v>
      </c>
      <c r="AZ100" s="29">
        <v>28.074644333942715</v>
      </c>
      <c r="BA100" s="28">
        <v>128.63383272739136</v>
      </c>
      <c r="BB100" s="29">
        <v>28.044960108018916</v>
      </c>
      <c r="BC100" s="28">
        <v>128.67584822560644</v>
      </c>
      <c r="BD100" s="29">
        <v>28.015273969820825</v>
      </c>
      <c r="BE100" s="28">
        <v>128.71787744728798</v>
      </c>
      <c r="BF100" s="29">
        <v>27.985590218575226</v>
      </c>
      <c r="BG100" s="28">
        <v>128.75992039691849</v>
      </c>
      <c r="BH100" s="29">
        <v>27.95591338262561</v>
      </c>
      <c r="BI100" s="28">
        <v>128.80197707898185</v>
      </c>
      <c r="BJ100" s="29">
        <v>27.926248232191089</v>
      </c>
      <c r="BK100" s="28">
        <v>128.84404749796349</v>
      </c>
      <c r="BL100" s="29">
        <v>27.896599792921812</v>
      </c>
      <c r="BM100" s="28">
        <v>128.88613165835034</v>
      </c>
      <c r="BN100" s="29">
        <v>27.866973360305199</v>
      </c>
      <c r="BO100" s="28">
        <v>128.92822956463064</v>
      </c>
      <c r="BP100" s="29">
        <v>27.837374514981207</v>
      </c>
      <c r="BQ100" s="28">
        <v>128.97034122129429</v>
      </c>
      <c r="BR100" s="29">
        <v>27.807809139030816</v>
      </c>
      <c r="BS100" s="28">
        <v>129.01246663283251</v>
      </c>
      <c r="BT100" s="29">
        <v>27.778283433303475</v>
      </c>
      <c r="BU100" s="28">
        <v>129.05460580373801</v>
      </c>
      <c r="BV100" s="29">
        <v>27.748803935856873</v>
      </c>
      <c r="BW100" s="28">
        <v>129.09675873850509</v>
      </c>
      <c r="BX100" s="29">
        <v>27.719377541585764</v>
      </c>
      <c r="BY100" s="28">
        <v>129.13892544162931</v>
      </c>
      <c r="BZ100" s="29">
        <v>27.690011523122266</v>
      </c>
      <c r="CA100" s="28">
        <v>129.18110591760788</v>
      </c>
      <c r="CB100" s="29">
        <v>27.660713553096507</v>
      </c>
      <c r="CC100" s="28">
        <v>129.22330017093935</v>
      </c>
      <c r="CD100" s="29">
        <v>27.631491727851184</v>
      </c>
      <c r="CE100" s="28">
        <v>129.26550820612385</v>
      </c>
      <c r="CF100" s="29">
        <v>27.602354592710935</v>
      </c>
      <c r="CG100" s="28">
        <v>129.30773002766293</v>
      </c>
      <c r="CH100" s="29">
        <v>27.573311168913019</v>
      </c>
      <c r="CI100" s="28">
        <v>129.34996564005962</v>
      </c>
      <c r="CJ100" s="29">
        <v>27.5443709823132</v>
      </c>
      <c r="CK100" s="28">
        <v>129.3922150478183</v>
      </c>
      <c r="CL100" s="29">
        <v>27.515544093986609</v>
      </c>
      <c r="CM100" s="28">
        <v>129.43447825544507</v>
      </c>
      <c r="CN100" s="29">
        <v>27.486841132851445</v>
      </c>
      <c r="CO100" s="28">
        <v>129.47675526744732</v>
      </c>
      <c r="CP100" s="29">
        <v>27.458273330447824</v>
      </c>
      <c r="CQ100" s="28">
        <v>129.51904608833391</v>
      </c>
      <c r="CR100" s="29">
        <v>27.429852558013142</v>
      </c>
      <c r="CS100" s="28">
        <v>129.56135072261529</v>
      </c>
      <c r="CT100" s="29">
        <v>27.40159136599944</v>
      </c>
      <c r="CU100" s="28">
        <v>129.60366917480323</v>
      </c>
      <c r="CV100" s="29">
        <v>27.373503026183325</v>
      </c>
      <c r="CW100" s="28">
        <v>129.6460014494111</v>
      </c>
      <c r="CX100" s="29">
        <v>27.345601576524263</v>
      </c>
      <c r="CY100" s="28">
        <v>129.68834755095372</v>
      </c>
      <c r="CZ100" s="29">
        <v>27.317901868927709</v>
      </c>
      <c r="DA100" s="28">
        <v>129.7307074839473</v>
      </c>
      <c r="DB100" s="29">
        <v>27.290419620070359</v>
      </c>
      <c r="DC100" s="28">
        <v>129.77308125290963</v>
      </c>
      <c r="DD100" s="29">
        <v>27.263171465441925</v>
      </c>
      <c r="DE100" s="28">
        <v>129.81546886235995</v>
      </c>
      <c r="DF100" s="29">
        <v>27.236175016749048</v>
      </c>
      <c r="DG100" s="28">
        <v>129.85787031681892</v>
      </c>
      <c r="DH100" s="29">
        <v>27.20944892281581</v>
      </c>
      <c r="DI100" s="28">
        <v>129.90028562080872</v>
      </c>
      <c r="DJ100" s="29">
        <v>27.183012934093959</v>
      </c>
      <c r="DK100" s="28">
        <v>129.94271477885303</v>
      </c>
      <c r="DL100" s="29">
        <v>27.156887970867153</v>
      </c>
      <c r="DM100" s="28">
        <v>129.98515779547699</v>
      </c>
      <c r="DN100" s="29">
        <v>27.131096195191308</v>
      </c>
      <c r="DO100" s="28">
        <v>130.02761467520716</v>
      </c>
      <c r="DP100" s="29">
        <v>27.105661086556303</v>
      </c>
      <c r="DQ100" s="28">
        <v>130.07008542257171</v>
      </c>
      <c r="DR100" s="29">
        <v>27.080607521177029</v>
      </c>
      <c r="DS100" s="28">
        <v>130.11257004210009</v>
      </c>
      <c r="DT100" s="29">
        <v>27.05596185471682</v>
      </c>
      <c r="DU100" s="28">
        <v>130.15506853832343</v>
      </c>
      <c r="DV100" s="29">
        <v>27.03175200811231</v>
      </c>
      <c r="DW100" s="28">
        <v>130.19758091577427</v>
      </c>
      <c r="DX100" s="29">
        <v>27.008007555986939</v>
      </c>
      <c r="DY100" s="28">
        <v>130.24010717898656</v>
      </c>
      <c r="DZ100" s="29">
        <v>26.984759816909502</v>
      </c>
      <c r="EA100" s="28">
        <v>130.28264733249583</v>
      </c>
      <c r="EB100" s="29">
        <v>26.962041944449936</v>
      </c>
      <c r="EC100" s="28">
        <v>130.32520138083902</v>
      </c>
      <c r="ED100" s="29">
        <v>26.939889017594496</v>
      </c>
      <c r="EE100" s="28">
        <v>130.3677693285546</v>
      </c>
      <c r="EF100" s="29">
        <v>26.918338128578629</v>
      </c>
      <c r="EG100" s="28">
        <v>130.41035118018249</v>
      </c>
      <c r="EH100" s="29">
        <v>26.897428465548259</v>
      </c>
      <c r="EI100" s="28">
        <v>130.4529469402641</v>
      </c>
      <c r="EJ100" s="29">
        <v>26.877201386629711</v>
      </c>
      <c r="EK100" s="28">
        <v>130.49555661334236</v>
      </c>
      <c r="EL100" s="29">
        <v>26.857700480925686</v>
      </c>
      <c r="EM100" s="28">
        <v>130.53818020396164</v>
      </c>
      <c r="EN100" s="29">
        <v>26.838971610594314</v>
      </c>
      <c r="EO100" s="28">
        <v>130.58081771666781</v>
      </c>
      <c r="EP100" s="29">
        <v>26.821062926435889</v>
      </c>
      <c r="EQ100" s="28">
        <v>130.62346915600821</v>
      </c>
      <c r="ER100" s="29">
        <v>26.80402484720311</v>
      </c>
      <c r="ES100" s="28">
        <v>130.66613452653169</v>
      </c>
      <c r="ET100" s="29">
        <v>26.787909990049311</v>
      </c>
      <c r="EU100" s="28">
        <v>130.70881383278856</v>
      </c>
      <c r="EV100" s="29">
        <v>26.772773035984439</v>
      </c>
      <c r="EW100" s="28">
        <v>130.75150707933065</v>
      </c>
      <c r="EX100" s="29">
        <v>26.758670509746537</v>
      </c>
      <c r="EY100" s="28">
        <v>130.79421427071125</v>
      </c>
      <c r="EZ100" s="29">
        <v>26.745660447918642</v>
      </c>
      <c r="FA100" s="28">
        <v>130.83693541148511</v>
      </c>
      <c r="FB100" s="29">
        <v>26.733801922213406</v>
      </c>
      <c r="FC100" s="28">
        <v>130.87967050620856</v>
      </c>
      <c r="FD100" s="29">
        <v>26.7231543764122</v>
      </c>
      <c r="FE100" s="28">
        <v>130.92241955943933</v>
      </c>
      <c r="FF100" s="29">
        <v>26.713776725352506</v>
      </c>
      <c r="FG100" s="28">
        <v>130.96518257573666</v>
      </c>
      <c r="FH100" s="29">
        <v>26.705726152659814</v>
      </c>
      <c r="FI100" s="28">
        <v>131.00795955966132</v>
      </c>
      <c r="FJ100" s="29">
        <v>26.699056531047823</v>
      </c>
      <c r="FK100" s="28">
        <v>131.05075051577552</v>
      </c>
      <c r="FL100" s="29">
        <v>26.693816376141474</v>
      </c>
      <c r="FM100" s="28">
        <v>131.09355544864297</v>
      </c>
      <c r="FN100" s="29">
        <v>26.690046234445301</v>
      </c>
      <c r="FO100" s="28">
        <v>131.13637436282886</v>
      </c>
      <c r="FP100" s="29">
        <v>26.687775403235005</v>
      </c>
      <c r="FQ100" s="28">
        <v>131.17920726289992</v>
      </c>
      <c r="FR100" s="29">
        <v>26.687017893839922</v>
      </c>
      <c r="FS100" s="28">
        <v>131.22205415342435</v>
      </c>
      <c r="FT100" s="29">
        <v>26.687767595775444</v>
      </c>
      <c r="FU100" s="28">
        <v>131.26491503897185</v>
      </c>
      <c r="FV100" s="29">
        <v>26.689992703646361</v>
      </c>
      <c r="FW100" s="28">
        <v>131.30778992411351</v>
      </c>
      <c r="FX100" s="29">
        <v>26.693629672658311</v>
      </c>
      <c r="FY100" s="28">
        <v>131.35067881342206</v>
      </c>
      <c r="FZ100" s="29">
        <v>26.69857733075569</v>
      </c>
      <c r="GA100" s="28">
        <v>131.39358171147168</v>
      </c>
      <c r="GB100" s="29">
        <v>26.704692367338339</v>
      </c>
      <c r="GC100" s="28">
        <v>131.43649862283797</v>
      </c>
      <c r="GD100" s="29">
        <v>26.711788293421325</v>
      </c>
      <c r="GE100" s="28">
        <v>131.47942955209811</v>
      </c>
      <c r="GF100" s="29">
        <v>26.719641063670299</v>
      </c>
      <c r="GG100" s="28">
        <v>131.52237450383078</v>
      </c>
      <c r="GH100" s="29">
        <v>26.7280054459398</v>
      </c>
      <c r="GI100" s="28">
        <v>131.56533348261604</v>
      </c>
      <c r="GJ100" s="29">
        <v>26.736645633535666</v>
      </c>
      <c r="GK100" s="28">
        <v>131.6083064930356</v>
      </c>
      <c r="GL100" s="29">
        <v>26.745378588646112</v>
      </c>
      <c r="GM100" s="28">
        <v>131.65129353967259</v>
      </c>
      <c r="GN100" s="29">
        <v>26.75411439619014</v>
      </c>
      <c r="GO100" s="28">
        <v>131.69429462711159</v>
      </c>
      <c r="GP100" s="29">
        <v>26.762853057099338</v>
      </c>
      <c r="GQ100" s="28">
        <v>131.73730975993877</v>
      </c>
      <c r="GR100" s="29">
        <v>26.771594572305791</v>
      </c>
      <c r="GS100" s="28">
        <v>131.78033894274176</v>
      </c>
      <c r="GT100" s="29">
        <v>26.780338942741764</v>
      </c>
    </row>
    <row r="101" spans="1:202" x14ac:dyDescent="0.25">
      <c r="I101" s="28">
        <v>122.23731973464656</v>
      </c>
      <c r="J101" s="29">
        <v>24.150693678702979</v>
      </c>
      <c r="K101" s="28">
        <v>122.27724594830458</v>
      </c>
      <c r="L101" s="29">
        <v>24.115140563672142</v>
      </c>
      <c r="M101" s="28">
        <v>122.31718520300883</v>
      </c>
      <c r="N101" s="29">
        <v>24.079455627987976</v>
      </c>
      <c r="O101" s="28">
        <v>122.35713750301889</v>
      </c>
      <c r="P101" s="29">
        <v>24.043638803801802</v>
      </c>
      <c r="Q101" s="28">
        <v>122.39710285259571</v>
      </c>
      <c r="R101" s="29">
        <v>24.007690029085854</v>
      </c>
      <c r="S101" s="28">
        <v>122.43708125600168</v>
      </c>
      <c r="T101" s="29">
        <v>23.971609277508659</v>
      </c>
      <c r="U101" s="28">
        <v>122.47707271750055</v>
      </c>
      <c r="V101" s="29">
        <v>23.935396564375413</v>
      </c>
      <c r="W101" s="28">
        <v>122.51707724135744</v>
      </c>
      <c r="X101" s="29">
        <v>23.899051949985029</v>
      </c>
      <c r="Y101" s="28">
        <v>122.55709483183894</v>
      </c>
      <c r="Z101" s="29">
        <v>23.86257554286053</v>
      </c>
      <c r="AA101" s="28">
        <v>122.59712549321294</v>
      </c>
      <c r="AB101" s="29">
        <v>23.825967503114221</v>
      </c>
      <c r="AC101" s="28">
        <v>122.63716922974879</v>
      </c>
      <c r="AD101" s="29">
        <v>23.789228046002563</v>
      </c>
      <c r="AE101" s="28">
        <v>122.67722604571721</v>
      </c>
      <c r="AF101" s="29">
        <v>23.75235744571301</v>
      </c>
      <c r="AG101" s="28">
        <v>122.71729594539029</v>
      </c>
      <c r="AH101" s="29">
        <v>23.715356039406451</v>
      </c>
      <c r="AI101" s="28">
        <v>122.75737893304158</v>
      </c>
      <c r="AJ101" s="29">
        <v>23.678224231536994</v>
      </c>
      <c r="AK101" s="28">
        <v>122.79747501294598</v>
      </c>
      <c r="AL101" s="29">
        <v>23.640962498470909</v>
      </c>
      <c r="AM101" s="28">
        <v>122.83758418937978</v>
      </c>
      <c r="AN101" s="29">
        <v>23.603571393427796</v>
      </c>
      <c r="AO101" s="28">
        <v>122.87770646662071</v>
      </c>
      <c r="AP101" s="29">
        <v>23.566051551768936</v>
      </c>
      <c r="AQ101" s="28">
        <v>122.91784184894784</v>
      </c>
      <c r="AR101" s="29">
        <v>23.528403696659623</v>
      </c>
      <c r="AS101" s="28">
        <v>122.95799034064171</v>
      </c>
      <c r="AT101" s="29">
        <v>23.490628645135263</v>
      </c>
      <c r="AU101" s="28">
        <v>122.99815194598418</v>
      </c>
      <c r="AV101" s="29">
        <v>23.452727314602427</v>
      </c>
      <c r="AW101" s="28">
        <v>123.03832666925851</v>
      </c>
      <c r="AX101" s="29">
        <v>23.414700729810509</v>
      </c>
      <c r="AY101" s="28">
        <v>123.07851451474946</v>
      </c>
      <c r="AZ101" s="29">
        <v>23.376550030331014</v>
      </c>
      <c r="BA101" s="28">
        <v>123.11871548674307</v>
      </c>
      <c r="BB101" s="29">
        <v>23.338276478586018</v>
      </c>
      <c r="BC101" s="28">
        <v>123.15892958952689</v>
      </c>
      <c r="BD101" s="29">
        <v>23.299881468470872</v>
      </c>
      <c r="BE101" s="28">
        <v>123.19915682738976</v>
      </c>
      <c r="BF101" s="29">
        <v>23.261366534619984</v>
      </c>
      <c r="BG101" s="28">
        <v>123.23939720462202</v>
      </c>
      <c r="BH101" s="29">
        <v>23.222733362369606</v>
      </c>
      <c r="BI101" s="28">
        <v>123.27965072551532</v>
      </c>
      <c r="BJ101" s="29">
        <v>23.1839837984759</v>
      </c>
      <c r="BK101" s="28">
        <v>123.31991739436275</v>
      </c>
      <c r="BL101" s="29">
        <v>23.145119862652876</v>
      </c>
      <c r="BM101" s="28">
        <v>123.36019721545884</v>
      </c>
      <c r="BN101" s="29">
        <v>23.106143760000027</v>
      </c>
      <c r="BO101" s="28">
        <v>123.40049019309949</v>
      </c>
      <c r="BP101" s="29">
        <v>23.067057894396992</v>
      </c>
      <c r="BQ101" s="28">
        <v>123.44079633158199</v>
      </c>
      <c r="BR101" s="29">
        <v>23.027864882949459</v>
      </c>
      <c r="BS101" s="28">
        <v>123.48111563520509</v>
      </c>
      <c r="BT101" s="29">
        <v>22.988567571579324</v>
      </c>
      <c r="BU101" s="28">
        <v>123.52144810826881</v>
      </c>
      <c r="BV101" s="29">
        <v>22.949169051860487</v>
      </c>
      <c r="BW101" s="28">
        <v>123.56179375507477</v>
      </c>
      <c r="BX101" s="29">
        <v>22.90967267921323</v>
      </c>
      <c r="BY101" s="28">
        <v>123.60215257992583</v>
      </c>
      <c r="BZ101" s="29">
        <v>22.8700820925791</v>
      </c>
      <c r="CA101" s="28">
        <v>123.64252458712635</v>
      </c>
      <c r="CB101" s="29">
        <v>22.830401235713548</v>
      </c>
      <c r="CC101" s="28">
        <v>123.68290978098202</v>
      </c>
      <c r="CD101" s="29">
        <v>22.790634380244846</v>
      </c>
      <c r="CE101" s="28">
        <v>123.72330816580003</v>
      </c>
      <c r="CF101" s="29">
        <v>22.750786150665483</v>
      </c>
      <c r="CG101" s="28">
        <v>123.76371974588891</v>
      </c>
      <c r="CH101" s="29">
        <v>22.710861551437425</v>
      </c>
      <c r="CI101" s="28">
        <v>123.80414452555861</v>
      </c>
      <c r="CJ101" s="29">
        <v>22.670865996414001</v>
      </c>
      <c r="CK101" s="28">
        <v>123.84458250912044</v>
      </c>
      <c r="CL101" s="29">
        <v>22.6308053408004</v>
      </c>
      <c r="CM101" s="28">
        <v>123.88503370088728</v>
      </c>
      <c r="CN101" s="29">
        <v>22.590685915900604</v>
      </c>
      <c r="CO101" s="28">
        <v>123.92549810517322</v>
      </c>
      <c r="CP101" s="29">
        <v>22.550514566923464</v>
      </c>
      <c r="CQ101" s="28">
        <v>123.96597572629389</v>
      </c>
      <c r="CR101" s="29">
        <v>22.510298694152215</v>
      </c>
      <c r="CS101" s="28">
        <v>124.00646656856628</v>
      </c>
      <c r="CT101" s="29">
        <v>22.47004629781323</v>
      </c>
      <c r="CU101" s="28">
        <v>124.04697063630879</v>
      </c>
      <c r="CV101" s="29">
        <v>22.429766027018442</v>
      </c>
      <c r="CW101" s="28">
        <v>124.08748793384122</v>
      </c>
      <c r="CX101" s="29">
        <v>22.389467233196516</v>
      </c>
      <c r="CY101" s="28">
        <v>124.12801846548483</v>
      </c>
      <c r="CZ101" s="29">
        <v>22.349160028474678</v>
      </c>
      <c r="DA101" s="28">
        <v>124.16856223556223</v>
      </c>
      <c r="DB101" s="29">
        <v>22.308855349525043</v>
      </c>
      <c r="DC101" s="28">
        <v>124.2091192483975</v>
      </c>
      <c r="DD101" s="29">
        <v>22.268565027447409</v>
      </c>
      <c r="DE101" s="28">
        <v>124.24968950831611</v>
      </c>
      <c r="DF101" s="29">
        <v>22.228301864324866</v>
      </c>
      <c r="DG101" s="28">
        <v>124.29027301964491</v>
      </c>
      <c r="DH101" s="29">
        <v>22.18807971716134</v>
      </c>
      <c r="DI101" s="28">
        <v>124.33086978671217</v>
      </c>
      <c r="DJ101" s="29">
        <v>22.147913589990399</v>
      </c>
      <c r="DK101" s="28">
        <v>124.37147981384766</v>
      </c>
      <c r="DL101" s="29">
        <v>22.107819735034283</v>
      </c>
      <c r="DM101" s="28">
        <v>124.41210310538246</v>
      </c>
      <c r="DN101" s="29">
        <v>22.067815763890692</v>
      </c>
      <c r="DO101" s="28">
        <v>124.45273966564908</v>
      </c>
      <c r="DP101" s="29">
        <v>22.027920769835369</v>
      </c>
      <c r="DQ101" s="28">
        <v>124.49338949898154</v>
      </c>
      <c r="DR101" s="29">
        <v>21.988155462447974</v>
      </c>
      <c r="DS101" s="28">
        <v>124.53405260971512</v>
      </c>
      <c r="DT101" s="29">
        <v>21.94854231589996</v>
      </c>
      <c r="DU101" s="28">
        <v>124.57472900218664</v>
      </c>
      <c r="DV101" s="29">
        <v>21.909105732386639</v>
      </c>
      <c r="DW101" s="28">
        <v>124.61541868073434</v>
      </c>
      <c r="DX101" s="29">
        <v>21.869872222335442</v>
      </c>
      <c r="DY101" s="28">
        <v>124.65612164969777</v>
      </c>
      <c r="DZ101" s="29">
        <v>21.830870603184046</v>
      </c>
      <c r="EA101" s="28">
        <v>124.69683791341795</v>
      </c>
      <c r="EB101" s="29">
        <v>21.792132218685264</v>
      </c>
      <c r="EC101" s="28">
        <v>124.73756747623739</v>
      </c>
      <c r="ED101" s="29">
        <v>21.753691180857537</v>
      </c>
      <c r="EE101" s="28">
        <v>124.77831034249992</v>
      </c>
      <c r="EF101" s="29">
        <v>21.715584636851538</v>
      </c>
      <c r="EG101" s="28">
        <v>124.81906651655082</v>
      </c>
      <c r="EH101" s="29">
        <v>21.677853063128754</v>
      </c>
      <c r="EI101" s="28">
        <v>124.85983600273681</v>
      </c>
      <c r="EJ101" s="29">
        <v>21.640540589426536</v>
      </c>
      <c r="EK101" s="28">
        <v>124.90061880540603</v>
      </c>
      <c r="EL101" s="29">
        <v>21.603695354983234</v>
      </c>
      <c r="EM101" s="28">
        <v>124.941414928908</v>
      </c>
      <c r="EN101" s="29">
        <v>21.567369899371492</v>
      </c>
      <c r="EO101" s="28">
        <v>124.9822243775937</v>
      </c>
      <c r="EP101" s="29">
        <v>21.531621589965301</v>
      </c>
      <c r="EQ101" s="28">
        <v>125.02304715581549</v>
      </c>
      <c r="ER101" s="29">
        <v>21.496513087452342</v>
      </c>
      <c r="ES101" s="28">
        <v>125.06388326792724</v>
      </c>
      <c r="ET101" s="29">
        <v>21.462112849747228</v>
      </c>
      <c r="EU101" s="28">
        <v>125.1047327182841</v>
      </c>
      <c r="EV101" s="29">
        <v>21.428495672957308</v>
      </c>
      <c r="EW101" s="28">
        <v>125.14559551124277</v>
      </c>
      <c r="EX101" s="29">
        <v>21.395743265395968</v>
      </c>
      <c r="EY101" s="28">
        <v>125.18647165116134</v>
      </c>
      <c r="EZ101" s="29">
        <v>21.36394484658479</v>
      </c>
      <c r="FA101" s="28">
        <v>125.22736114239926</v>
      </c>
      <c r="FB101" s="29">
        <v>21.333197757103196</v>
      </c>
      <c r="FC101" s="28">
        <v>125.2682639893175</v>
      </c>
      <c r="FD101" s="29">
        <v>21.303608056103368</v>
      </c>
      <c r="FE101" s="28">
        <v>125.30918019627839</v>
      </c>
      <c r="FF101" s="29">
        <v>21.275291069978103</v>
      </c>
      <c r="FG101" s="28">
        <v>125.35010976764571</v>
      </c>
      <c r="FH101" s="29">
        <v>21.248371836128268</v>
      </c>
      <c r="FI101" s="28">
        <v>125.39105270778464</v>
      </c>
      <c r="FJ101" s="29">
        <v>21.222985357272631</v>
      </c>
      <c r="FK101" s="28">
        <v>125.43200902106184</v>
      </c>
      <c r="FL101" s="29">
        <v>21.199276540384634</v>
      </c>
      <c r="FM101" s="28">
        <v>125.47297871184534</v>
      </c>
      <c r="FN101" s="29">
        <v>21.177399634717812</v>
      </c>
      <c r="FO101" s="28">
        <v>125.51396178450459</v>
      </c>
      <c r="FP101" s="29">
        <v>21.15751689822137</v>
      </c>
      <c r="FQ101" s="28">
        <v>125.55495824341052</v>
      </c>
      <c r="FR101" s="29">
        <v>21.139796101746683</v>
      </c>
      <c r="FS101" s="28">
        <v>125.59596809293548</v>
      </c>
      <c r="FT101" s="29">
        <v>21.124406315533328</v>
      </c>
      <c r="FU101" s="28">
        <v>125.63699133745322</v>
      </c>
      <c r="FV101" s="29">
        <v>21.111511204553935</v>
      </c>
      <c r="FW101" s="28">
        <v>125.6780279813389</v>
      </c>
      <c r="FX101" s="29">
        <v>21.101258791981799</v>
      </c>
      <c r="FY101" s="28">
        <v>125.71907802896915</v>
      </c>
      <c r="FZ101" s="29">
        <v>21.093766371154977</v>
      </c>
      <c r="GA101" s="28">
        <v>125.76014148472206</v>
      </c>
      <c r="GB101" s="29">
        <v>21.089099078855046</v>
      </c>
      <c r="GC101" s="28">
        <v>125.80121835297703</v>
      </c>
      <c r="GD101" s="29">
        <v>21.087240900913557</v>
      </c>
      <c r="GE101" s="28">
        <v>125.84230863811503</v>
      </c>
      <c r="GF101" s="29">
        <v>21.088058274970788</v>
      </c>
      <c r="GG101" s="28">
        <v>125.88341234451839</v>
      </c>
      <c r="GH101" s="29">
        <v>21.091260425627052</v>
      </c>
      <c r="GI101" s="28">
        <v>125.92452947657083</v>
      </c>
      <c r="GJ101" s="29">
        <v>21.096369646165652</v>
      </c>
      <c r="GK101" s="28">
        <v>125.9656600386576</v>
      </c>
      <c r="GL101" s="29">
        <v>21.102732134268123</v>
      </c>
      <c r="GM101" s="28">
        <v>126.00680403516537</v>
      </c>
      <c r="GN101" s="29">
        <v>21.109624891682905</v>
      </c>
      <c r="GO101" s="28">
        <v>126.04796147048211</v>
      </c>
      <c r="GP101" s="29">
        <v>21.116519900469847</v>
      </c>
      <c r="GQ101" s="28">
        <v>126.0891323489974</v>
      </c>
      <c r="GR101" s="29">
        <v>21.123417161364404</v>
      </c>
      <c r="GS101" s="28">
        <v>126.13031667510215</v>
      </c>
      <c r="GT101" s="29">
        <v>21.130316675102151</v>
      </c>
    </row>
    <row r="102" spans="1:202" x14ac:dyDescent="0.25">
      <c r="G102" s="28">
        <v>116.9582481701264</v>
      </c>
      <c r="H102" s="29">
        <v>20.099507156872534</v>
      </c>
      <c r="I102" s="28">
        <v>116.99645008763936</v>
      </c>
      <c r="J102" s="29">
        <v>20.058544642596072</v>
      </c>
      <c r="K102" s="28">
        <v>117.03466448299397</v>
      </c>
      <c r="L102" s="29">
        <v>20.017379767371288</v>
      </c>
      <c r="M102" s="28">
        <v>117.07289136026588</v>
      </c>
      <c r="N102" s="29">
        <v>19.976010763285768</v>
      </c>
      <c r="O102" s="28">
        <v>117.11113072353203</v>
      </c>
      <c r="P102" s="29">
        <v>19.934435839514361</v>
      </c>
      <c r="Q102" s="28">
        <v>117.14938257687068</v>
      </c>
      <c r="R102" s="29">
        <v>19.89265318747757</v>
      </c>
      <c r="S102" s="28">
        <v>117.18764692436147</v>
      </c>
      <c r="T102" s="29">
        <v>19.85066098179723</v>
      </c>
      <c r="U102" s="28">
        <v>117.22592377008536</v>
      </c>
      <c r="V102" s="29">
        <v>19.808457380820492</v>
      </c>
      <c r="W102" s="28">
        <v>117.2642131181246</v>
      </c>
      <c r="X102" s="29">
        <v>19.766040527149016</v>
      </c>
      <c r="Y102" s="28">
        <v>117.30251497256283</v>
      </c>
      <c r="Z102" s="29">
        <v>19.723408548226779</v>
      </c>
      <c r="AA102" s="28">
        <v>117.34082933748498</v>
      </c>
      <c r="AB102" s="29">
        <v>19.680559557003704</v>
      </c>
      <c r="AC102" s="28">
        <v>117.37915621697734</v>
      </c>
      <c r="AD102" s="29">
        <v>19.637491652688713</v>
      </c>
      <c r="AE102" s="28">
        <v>117.41749561512752</v>
      </c>
      <c r="AF102" s="29">
        <v>19.594202921601809</v>
      </c>
      <c r="AG102" s="28">
        <v>117.45584753602448</v>
      </c>
      <c r="AH102" s="29">
        <v>19.550691438136042</v>
      </c>
      <c r="AI102" s="28">
        <v>117.4942119837585</v>
      </c>
      <c r="AJ102" s="29">
        <v>19.506955265840045</v>
      </c>
      <c r="AK102" s="28">
        <v>117.53258896242123</v>
      </c>
      <c r="AL102" s="29">
        <v>19.462992458633163</v>
      </c>
      <c r="AM102" s="28">
        <v>117.57097847610559</v>
      </c>
      <c r="AN102" s="29">
        <v>19.418801062166231</v>
      </c>
      <c r="AO102" s="28">
        <v>117.60938052890593</v>
      </c>
      <c r="AP102" s="29">
        <v>19.374379115342926</v>
      </c>
      <c r="AQ102" s="28">
        <v>117.64779512491783</v>
      </c>
      <c r="AR102" s="29">
        <v>19.329724652016861</v>
      </c>
      <c r="AS102" s="28">
        <v>117.68622226823832</v>
      </c>
      <c r="AT102" s="29">
        <v>19.284835702882983</v>
      </c>
      <c r="AU102" s="28">
        <v>117.72466196296567</v>
      </c>
      <c r="AV102" s="29">
        <v>19.239710297581901</v>
      </c>
      <c r="AW102" s="28">
        <v>117.76311421319951</v>
      </c>
      <c r="AX102" s="29">
        <v>19.194346467039416</v>
      </c>
      <c r="AY102" s="28">
        <v>117.80157902304087</v>
      </c>
      <c r="AZ102" s="29">
        <v>19.14874224606443</v>
      </c>
      <c r="BA102" s="28">
        <v>117.84005639659206</v>
      </c>
      <c r="BB102" s="29">
        <v>19.102895676231928</v>
      </c>
      <c r="BC102" s="28">
        <v>117.87854633795678</v>
      </c>
      <c r="BD102" s="29">
        <v>19.056804809080219</v>
      </c>
      <c r="BE102" s="28">
        <v>117.91704885123998</v>
      </c>
      <c r="BF102" s="29">
        <v>19.010467709654709</v>
      </c>
      <c r="BG102" s="28">
        <v>117.95556394054807</v>
      </c>
      <c r="BH102" s="29">
        <v>18.963882460434277</v>
      </c>
      <c r="BI102" s="28">
        <v>117.9940916099887</v>
      </c>
      <c r="BJ102" s="29">
        <v>18.917047165680092</v>
      </c>
      <c r="BK102" s="28">
        <v>118.03263186367089</v>
      </c>
      <c r="BL102" s="29">
        <v>18.869959956251403</v>
      </c>
      <c r="BM102" s="28">
        <v>118.07118470570504</v>
      </c>
      <c r="BN102" s="29">
        <v>18.822618994937748</v>
      </c>
      <c r="BO102" s="28">
        <v>118.10975014020286</v>
      </c>
      <c r="BP102" s="29">
        <v>18.775022482362477</v>
      </c>
      <c r="BQ102" s="28">
        <v>118.14832817127743</v>
      </c>
      <c r="BR102" s="29">
        <v>18.727168663519507</v>
      </c>
      <c r="BS102" s="28">
        <v>118.18691880304314</v>
      </c>
      <c r="BT102" s="29">
        <v>18.679055835011503</v>
      </c>
      <c r="BU102" s="28">
        <v>118.2255220396157</v>
      </c>
      <c r="BV102" s="29">
        <v>18.630682353066621</v>
      </c>
      <c r="BW102" s="28">
        <v>118.26413788511225</v>
      </c>
      <c r="BX102" s="29">
        <v>18.582046642419648</v>
      </c>
      <c r="BY102" s="28">
        <v>118.3027663436512</v>
      </c>
      <c r="BZ102" s="29">
        <v>18.533147206153622</v>
      </c>
      <c r="CA102" s="28">
        <v>118.34140741935236</v>
      </c>
      <c r="CB102" s="29">
        <v>18.48398263661052</v>
      </c>
      <c r="CC102" s="28">
        <v>118.38006111633682</v>
      </c>
      <c r="CD102" s="29">
        <v>18.434551627491771</v>
      </c>
      <c r="CE102" s="28">
        <v>118.41872743872709</v>
      </c>
      <c r="CF102" s="29">
        <v>18.384852987285971</v>
      </c>
      <c r="CG102" s="28">
        <v>118.45740639064695</v>
      </c>
      <c r="CH102" s="29">
        <v>18.334885654176826</v>
      </c>
      <c r="CI102" s="28">
        <v>118.49609797622162</v>
      </c>
      <c r="CJ102" s="29">
        <v>18.284648712605851</v>
      </c>
      <c r="CK102" s="28">
        <v>118.53480219957753</v>
      </c>
      <c r="CL102" s="29">
        <v>18.234141411685069</v>
      </c>
      <c r="CM102" s="28">
        <v>118.57351906484263</v>
      </c>
      <c r="CN102" s="29">
        <v>18.183363185682509</v>
      </c>
      <c r="CO102" s="28">
        <v>118.61224857614607</v>
      </c>
      <c r="CP102" s="29">
        <v>18.132313676830925</v>
      </c>
      <c r="CQ102" s="28">
        <v>118.65099073761846</v>
      </c>
      <c r="CR102" s="29">
        <v>18.080992760746248</v>
      </c>
      <c r="CS102" s="28">
        <v>118.68974555339167</v>
      </c>
      <c r="CT102" s="29">
        <v>18.029400574779224</v>
      </c>
      <c r="CU102" s="28">
        <v>118.72851302759898</v>
      </c>
      <c r="CV102" s="29">
        <v>17.977537549670249</v>
      </c>
      <c r="CW102" s="28">
        <v>118.76729316437496</v>
      </c>
      <c r="CX102" s="29">
        <v>17.925404444928468</v>
      </c>
      <c r="CY102" s="28">
        <v>118.80608596785561</v>
      </c>
      <c r="CZ102" s="29">
        <v>17.87300238841685</v>
      </c>
      <c r="DA102" s="28">
        <v>118.84489144217821</v>
      </c>
      <c r="DB102" s="29">
        <v>17.820332920694103</v>
      </c>
      <c r="DC102" s="28">
        <v>118.88370959148142</v>
      </c>
      <c r="DD102" s="29">
        <v>17.767398044745843</v>
      </c>
      <c r="DE102" s="28">
        <v>118.9225404199053</v>
      </c>
      <c r="DF102" s="29">
        <v>17.714200281831516</v>
      </c>
      <c r="DG102" s="28">
        <v>118.96138393159116</v>
      </c>
      <c r="DH102" s="29">
        <v>17.660742734283168</v>
      </c>
      <c r="DI102" s="28">
        <v>119.0002401306817</v>
      </c>
      <c r="DJ102" s="29">
        <v>17.607029156221774</v>
      </c>
      <c r="DK102" s="28">
        <v>119.03910902132107</v>
      </c>
      <c r="DL102" s="29">
        <v>17.553064033306587</v>
      </c>
      <c r="DM102" s="28">
        <v>119.07799060765464</v>
      </c>
      <c r="DN102" s="29">
        <v>17.498852672810681</v>
      </c>
      <c r="DO102" s="28">
        <v>119.11688489382917</v>
      </c>
      <c r="DP102" s="29">
        <v>17.444401305524661</v>
      </c>
      <c r="DQ102" s="28">
        <v>119.15579188399286</v>
      </c>
      <c r="DR102" s="29">
        <v>17.389717201236653</v>
      </c>
      <c r="DS102" s="28">
        <v>119.19471158229513</v>
      </c>
      <c r="DT102" s="29">
        <v>17.334808799827535</v>
      </c>
      <c r="DU102" s="28">
        <v>119.23364399288684</v>
      </c>
      <c r="DV102" s="29">
        <v>17.279685860367668</v>
      </c>
      <c r="DW102" s="28">
        <v>119.27258911992023</v>
      </c>
      <c r="DX102" s="29">
        <v>17.22435963101093</v>
      </c>
      <c r="DY102" s="28">
        <v>119.31154696754881</v>
      </c>
      <c r="DZ102" s="29">
        <v>17.168843042973116</v>
      </c>
      <c r="EA102" s="28">
        <v>119.35051753992748</v>
      </c>
      <c r="EB102" s="29">
        <v>17.113150932468152</v>
      </c>
      <c r="EC102" s="28">
        <v>119.38950084121255</v>
      </c>
      <c r="ED102" s="29">
        <v>17.057300295176788</v>
      </c>
      <c r="EE102" s="28">
        <v>119.42849687556163</v>
      </c>
      <c r="EF102" s="29">
        <v>17.001310578666669</v>
      </c>
      <c r="EG102" s="28">
        <v>119.46750564713369</v>
      </c>
      <c r="EH102" s="29">
        <v>16.945204019198158</v>
      </c>
      <c r="EI102" s="28">
        <v>119.50652716008909</v>
      </c>
      <c r="EJ102" s="29">
        <v>16.889006030575157</v>
      </c>
      <c r="EK102" s="28">
        <v>119.54556141858953</v>
      </c>
      <c r="EL102" s="29">
        <v>16.832745654180783</v>
      </c>
      <c r="EM102" s="28">
        <v>119.58460842679806</v>
      </c>
      <c r="EN102" s="29">
        <v>16.776456081131983</v>
      </c>
      <c r="EO102" s="28">
        <v>119.62366818887911</v>
      </c>
      <c r="EP102" s="29">
        <v>16.720175259659165</v>
      </c>
      <c r="EQ102" s="28">
        <v>119.66274070899843</v>
      </c>
      <c r="ER102" s="29">
        <v>16.663946603453706</v>
      </c>
      <c r="ES102" s="28">
        <v>119.70182599132323</v>
      </c>
      <c r="ET102" s="29">
        <v>16.607819819921236</v>
      </c>
      <c r="EU102" s="28">
        <v>119.74092404002194</v>
      </c>
      <c r="EV102" s="29">
        <v>16.551851881145204</v>
      </c>
      <c r="EW102" s="28">
        <v>119.78003485926445</v>
      </c>
      <c r="EX102" s="29">
        <v>16.496108165030073</v>
      </c>
      <c r="EY102" s="28">
        <v>119.819158453222</v>
      </c>
      <c r="EZ102" s="29">
        <v>16.440663799680422</v>
      </c>
      <c r="FA102" s="28">
        <v>119.85829482606715</v>
      </c>
      <c r="FB102" s="29">
        <v>16.385605250699697</v>
      </c>
      <c r="FC102" s="28">
        <v>119.89744398197388</v>
      </c>
      <c r="FD102" s="29">
        <v>16.331032198814277</v>
      </c>
      <c r="FE102" s="28">
        <v>119.93660592511748</v>
      </c>
      <c r="FF102" s="29">
        <v>16.277059763965394</v>
      </c>
      <c r="FG102" s="28">
        <v>119.97578065967465</v>
      </c>
      <c r="FH102" s="29">
        <v>16.223821141403665</v>
      </c>
      <c r="FI102" s="28">
        <v>120.01496818982342</v>
      </c>
      <c r="FJ102" s="29">
        <v>16.171470724425447</v>
      </c>
      <c r="FK102" s="28">
        <v>120.05416851974321</v>
      </c>
      <c r="FL102" s="29">
        <v>16.12018779517793</v>
      </c>
      <c r="FM102" s="28">
        <v>120.0933816536148</v>
      </c>
      <c r="FN102" s="29">
        <v>16.070180865297399</v>
      </c>
      <c r="FO102" s="28">
        <v>120.13260759562027</v>
      </c>
      <c r="FP102" s="29">
        <v>16.021692734002041</v>
      </c>
      <c r="FQ102" s="28">
        <v>120.17184634994318</v>
      </c>
      <c r="FR102" s="29">
        <v>15.975006287274327</v>
      </c>
      <c r="FS102" s="28">
        <v>120.21109792076838</v>
      </c>
      <c r="FT102" s="29">
        <v>15.930450958999907</v>
      </c>
      <c r="FU102" s="28">
        <v>120.25036231228214</v>
      </c>
      <c r="FV102" s="29">
        <v>15.888409559278394</v>
      </c>
      <c r="FW102" s="28">
        <v>120.289639528672</v>
      </c>
      <c r="FX102" s="29">
        <v>15.849324746383257</v>
      </c>
      <c r="FY102" s="28">
        <v>120.32892957412697</v>
      </c>
      <c r="FZ102" s="29">
        <v>15.813703593824323</v>
      </c>
      <c r="GA102" s="28">
        <v>120.36823245283742</v>
      </c>
      <c r="GB102" s="29">
        <v>15.782117155349601</v>
      </c>
      <c r="GC102" s="28">
        <v>120.40754816899499</v>
      </c>
      <c r="GD102" s="29">
        <v>15.755189098993824</v>
      </c>
      <c r="GE102" s="28">
        <v>120.44687672679281</v>
      </c>
      <c r="GF102" s="29">
        <v>15.733562494474072</v>
      </c>
      <c r="GG102" s="28">
        <v>120.48621813042533</v>
      </c>
      <c r="GH102" s="29">
        <v>15.717825628893818</v>
      </c>
      <c r="GI102" s="28">
        <v>120.52557238408831</v>
      </c>
      <c r="GJ102" s="29">
        <v>15.70836607779629</v>
      </c>
      <c r="GK102" s="28">
        <v>120.56493949197899</v>
      </c>
      <c r="GL102" s="29">
        <v>15.705112300287464</v>
      </c>
      <c r="GM102" s="28">
        <v>120.60431945829596</v>
      </c>
      <c r="GN102" s="29">
        <v>15.707140314813495</v>
      </c>
      <c r="GO102" s="28">
        <v>120.64371228723905</v>
      </c>
      <c r="GP102" s="29">
        <v>15.71227071722681</v>
      </c>
      <c r="GQ102" s="28">
        <v>120.68311798300967</v>
      </c>
      <c r="GR102" s="29">
        <v>15.717402795376682</v>
      </c>
      <c r="GS102" s="28">
        <v>120.72253654981044</v>
      </c>
      <c r="GT102" s="29">
        <v>15.722536549810442</v>
      </c>
    </row>
    <row r="103" spans="1:202" x14ac:dyDescent="0.25">
      <c r="E103" s="28">
        <v>111.9071642336385</v>
      </c>
      <c r="F103" s="29">
        <v>16.51092846408984</v>
      </c>
      <c r="G103" s="28">
        <v>111.94371632230305</v>
      </c>
      <c r="H103" s="29">
        <v>16.466018874334416</v>
      </c>
      <c r="I103" s="28">
        <v>111.98028034992782</v>
      </c>
      <c r="J103" s="29">
        <v>16.420852350484374</v>
      </c>
      <c r="K103" s="28">
        <v>112.01685632041247</v>
      </c>
      <c r="L103" s="29">
        <v>16.375425720196048</v>
      </c>
      <c r="M103" s="28">
        <v>112.05344423765786</v>
      </c>
      <c r="N103" s="29">
        <v>16.32973574342164</v>
      </c>
      <c r="O103" s="28">
        <v>112.09004410556614</v>
      </c>
      <c r="P103" s="29">
        <v>16.283779111349386</v>
      </c>
      <c r="Q103" s="28">
        <v>112.12665592804073</v>
      </c>
      <c r="R103" s="29">
        <v>16.237552444522116</v>
      </c>
      <c r="S103" s="28">
        <v>112.16327970898637</v>
      </c>
      <c r="T103" s="29">
        <v>16.191052290796588</v>
      </c>
      <c r="U103" s="28">
        <v>112.19991545230901</v>
      </c>
      <c r="V103" s="29">
        <v>16.144275123217128</v>
      </c>
      <c r="W103" s="28">
        <v>112.23656316191591</v>
      </c>
      <c r="X103" s="29">
        <v>16.09721733781025</v>
      </c>
      <c r="Y103" s="28">
        <v>112.27322284171562</v>
      </c>
      <c r="Z103" s="29">
        <v>16.049875251299724</v>
      </c>
      <c r="AA103" s="28">
        <v>112.30989449561791</v>
      </c>
      <c r="AB103" s="29">
        <v>16.002245098739735</v>
      </c>
      <c r="AC103" s="28">
        <v>112.3465781275339</v>
      </c>
      <c r="AD103" s="29">
        <v>15.954323031064007</v>
      </c>
      <c r="AE103" s="28">
        <v>112.38327374137594</v>
      </c>
      <c r="AF103" s="29">
        <v>15.906105112547516</v>
      </c>
      <c r="AG103" s="28">
        <v>112.41998134105766</v>
      </c>
      <c r="AH103" s="29">
        <v>15.857587318177707</v>
      </c>
      <c r="AI103" s="28">
        <v>112.45670093049399</v>
      </c>
      <c r="AJ103" s="29">
        <v>15.808765530932332</v>
      </c>
      <c r="AK103" s="28">
        <v>112.49343251360114</v>
      </c>
      <c r="AL103" s="29">
        <v>15.759635538960246</v>
      </c>
      <c r="AM103" s="28">
        <v>112.53017609429656</v>
      </c>
      <c r="AN103" s="29">
        <v>15.710193032662232</v>
      </c>
      <c r="AO103" s="28">
        <v>112.56693167649904</v>
      </c>
      <c r="AP103" s="29">
        <v>15.660433601668366</v>
      </c>
      <c r="AQ103" s="28">
        <v>112.60369926412858</v>
      </c>
      <c r="AR103" s="29">
        <v>15.610352731708701</v>
      </c>
      <c r="AS103" s="28">
        <v>112.64047886110653</v>
      </c>
      <c r="AT103" s="29">
        <v>15.559945801374097</v>
      </c>
      <c r="AU103" s="28">
        <v>112.67727047135547</v>
      </c>
      <c r="AV103" s="29">
        <v>15.509208078763654</v>
      </c>
      <c r="AW103" s="28">
        <v>112.71407409879926</v>
      </c>
      <c r="AX103" s="29">
        <v>15.458134718016122</v>
      </c>
      <c r="AY103" s="28">
        <v>112.75088974736309</v>
      </c>
      <c r="AZ103" s="29">
        <v>15.406720755722001</v>
      </c>
      <c r="BA103" s="28">
        <v>112.78771742097339</v>
      </c>
      <c r="BB103" s="29">
        <v>15.354961107213368</v>
      </c>
      <c r="BC103" s="28">
        <v>112.82455712355791</v>
      </c>
      <c r="BD103" s="29">
        <v>15.3028505627294</v>
      </c>
      <c r="BE103" s="28">
        <v>112.86140885904561</v>
      </c>
      <c r="BF103" s="29">
        <v>15.250383783454781</v>
      </c>
      <c r="BG103" s="28">
        <v>112.89827263136684</v>
      </c>
      <c r="BH103" s="29">
        <v>15.197555297429727</v>
      </c>
      <c r="BI103" s="28">
        <v>112.93514844445312</v>
      </c>
      <c r="BJ103" s="29">
        <v>15.144359495329692</v>
      </c>
      <c r="BK103" s="28">
        <v>112.97203630223731</v>
      </c>
      <c r="BL103" s="29">
        <v>15.090790626114751</v>
      </c>
      <c r="BM103" s="28">
        <v>113.00893620865359</v>
      </c>
      <c r="BN103" s="29">
        <v>15.036842792548226</v>
      </c>
      <c r="BO103" s="28">
        <v>113.04584816763739</v>
      </c>
      <c r="BP103" s="29">
        <v>14.982509946585802</v>
      </c>
      <c r="BQ103" s="28">
        <v>113.08277218312539</v>
      </c>
      <c r="BR103" s="29">
        <v>14.927785884637354</v>
      </c>
      <c r="BS103" s="28">
        <v>113.11970825905563</v>
      </c>
      <c r="BT103" s="29">
        <v>14.872664242705159</v>
      </c>
      <c r="BU103" s="28">
        <v>113.15665639936734</v>
      </c>
      <c r="BV103" s="29">
        <v>14.817138491403416</v>
      </c>
      <c r="BW103" s="28">
        <v>113.19361660800114</v>
      </c>
      <c r="BX103" s="29">
        <v>14.761201930867013</v>
      </c>
      <c r="BY103" s="28">
        <v>113.23058888889886</v>
      </c>
      <c r="BZ103" s="29">
        <v>14.704847685558665</v>
      </c>
      <c r="CA103" s="28">
        <v>113.26757324600369</v>
      </c>
      <c r="CB103" s="29">
        <v>14.648068698987588</v>
      </c>
      <c r="CC103" s="28">
        <v>113.30456968326003</v>
      </c>
      <c r="CD103" s="29">
        <v>14.590857728355518</v>
      </c>
      <c r="CE103" s="28">
        <v>113.34157820461363</v>
      </c>
      <c r="CF103" s="29">
        <v>14.533207339150756</v>
      </c>
      <c r="CG103" s="28">
        <v>113.37859881401145</v>
      </c>
      <c r="CH103" s="29">
        <v>14.475109899715374</v>
      </c>
      <c r="CI103" s="28">
        <v>113.41563151540187</v>
      </c>
      <c r="CJ103" s="29">
        <v>14.416557575817111</v>
      </c>
      <c r="CK103" s="28">
        <v>113.4526763127344</v>
      </c>
      <c r="CL103" s="29">
        <v>14.357542325264133</v>
      </c>
      <c r="CM103" s="28">
        <v>113.48973320995998</v>
      </c>
      <c r="CN103" s="29">
        <v>14.298055892610218</v>
      </c>
      <c r="CO103" s="28">
        <v>113.52680221103076</v>
      </c>
      <c r="CP103" s="29">
        <v>14.238089804006984</v>
      </c>
      <c r="CQ103" s="28">
        <v>113.56388331990021</v>
      </c>
      <c r="CR103" s="29">
        <v>14.177635362273151</v>
      </c>
      <c r="CS103" s="28">
        <v>113.60097654052309</v>
      </c>
      <c r="CT103" s="29">
        <v>14.116683642264574</v>
      </c>
      <c r="CU103" s="28">
        <v>113.63808187685544</v>
      </c>
      <c r="CV103" s="29">
        <v>14.055225486647089</v>
      </c>
      <c r="CW103" s="28">
        <v>113.67519933285458</v>
      </c>
      <c r="CX103" s="29">
        <v>13.993251502194646</v>
      </c>
      <c r="CY103" s="28">
        <v>113.71232891247915</v>
      </c>
      <c r="CZ103" s="29">
        <v>13.93075205676103</v>
      </c>
      <c r="DA103" s="28">
        <v>113.74947061968909</v>
      </c>
      <c r="DB103" s="29">
        <v>13.867717277103862</v>
      </c>
      <c r="DC103" s="28">
        <v>113.78662445844559</v>
      </c>
      <c r="DD103" s="29">
        <v>13.80413704777637</v>
      </c>
      <c r="DE103" s="28">
        <v>113.82379043271121</v>
      </c>
      <c r="DF103" s="29">
        <v>13.740001011347255</v>
      </c>
      <c r="DG103" s="28">
        <v>113.8609685464497</v>
      </c>
      <c r="DH103" s="29">
        <v>13.675298570262239</v>
      </c>
      <c r="DI103" s="28">
        <v>113.89815880362616</v>
      </c>
      <c r="DJ103" s="29">
        <v>13.610018890727799</v>
      </c>
      <c r="DK103" s="28">
        <v>113.93536120820704</v>
      </c>
      <c r="DL103" s="29">
        <v>13.544150909075759</v>
      </c>
      <c r="DM103" s="28">
        <v>113.97257576415998</v>
      </c>
      <c r="DN103" s="29">
        <v>13.477683341165546</v>
      </c>
      <c r="DO103" s="28">
        <v>114.00980247545398</v>
      </c>
      <c r="DP103" s="29">
        <v>13.41060469550083</v>
      </c>
      <c r="DQ103" s="28">
        <v>114.04704134605936</v>
      </c>
      <c r="DR103" s="29">
        <v>13.342903290881837</v>
      </c>
      <c r="DS103" s="28">
        <v>114.08429237994763</v>
      </c>
      <c r="DT103" s="29">
        <v>13.274567279595837</v>
      </c>
      <c r="DU103" s="28">
        <v>114.1215555810917</v>
      </c>
      <c r="DV103" s="29">
        <v>13.205584677370743</v>
      </c>
      <c r="DW103" s="28">
        <v>114.15883095346578</v>
      </c>
      <c r="DX103" s="29">
        <v>13.135943401592069</v>
      </c>
      <c r="DY103" s="28">
        <v>114.19611850104531</v>
      </c>
      <c r="DZ103" s="29">
        <v>13.065631319626863</v>
      </c>
      <c r="EA103" s="28">
        <v>114.23341822780704</v>
      </c>
      <c r="EB103" s="29">
        <v>12.99463630952769</v>
      </c>
      <c r="EC103" s="28">
        <v>114.27073013772907</v>
      </c>
      <c r="ED103" s="29">
        <v>12.922946335927222</v>
      </c>
      <c r="EE103" s="28">
        <v>114.30805423479077</v>
      </c>
      <c r="EF103" s="29">
        <v>12.850549544612825</v>
      </c>
      <c r="EG103" s="28">
        <v>114.34539052297279</v>
      </c>
      <c r="EH103" s="29">
        <v>12.777434380129636</v>
      </c>
      <c r="EI103" s="28">
        <v>114.38273900625713</v>
      </c>
      <c r="EJ103" s="29">
        <v>12.703589731854386</v>
      </c>
      <c r="EK103" s="28">
        <v>114.42009968862702</v>
      </c>
      <c r="EL103" s="29">
        <v>12.629005115381494</v>
      </c>
      <c r="EM103" s="28">
        <v>114.45747257406707</v>
      </c>
      <c r="EN103" s="29">
        <v>12.553670897864196</v>
      </c>
      <c r="EO103" s="28">
        <v>114.49485766656314</v>
      </c>
      <c r="EP103" s="29">
        <v>12.477578578284799</v>
      </c>
      <c r="EQ103" s="28">
        <v>114.53225497010236</v>
      </c>
      <c r="ER103" s="29">
        <v>12.400721136665467</v>
      </c>
      <c r="ES103" s="28">
        <v>114.5696644886733</v>
      </c>
      <c r="ET103" s="29">
        <v>12.323093470215044</v>
      </c>
      <c r="EU103" s="28">
        <v>114.60708622626565</v>
      </c>
      <c r="EV103" s="29">
        <v>12.244692939669021</v>
      </c>
      <c r="EW103" s="28">
        <v>114.64452018687054</v>
      </c>
      <c r="EX103" s="29">
        <v>12.165520056082876</v>
      </c>
      <c r="EY103" s="28">
        <v>114.68196637448034</v>
      </c>
      <c r="EZ103" s="29">
        <v>12.085579347733185</v>
      </c>
      <c r="FA103" s="28">
        <v>114.71942479308873</v>
      </c>
      <c r="FB103" s="29">
        <v>12.004880459490785</v>
      </c>
      <c r="FC103" s="28">
        <v>114.75689544669075</v>
      </c>
      <c r="FD103" s="29">
        <v>11.923439554379275</v>
      </c>
      <c r="FE103" s="28">
        <v>114.79437833928264</v>
      </c>
      <c r="FF103" s="29">
        <v>11.8412811109377</v>
      </c>
      <c r="FG103" s="28">
        <v>114.83187347486206</v>
      </c>
      <c r="FH103" s="29">
        <v>11.758440243279182</v>
      </c>
      <c r="FI103" s="28">
        <v>114.86938085742788</v>
      </c>
      <c r="FJ103" s="29">
        <v>11.674965717522966</v>
      </c>
      <c r="FK103" s="28">
        <v>114.90690049098035</v>
      </c>
      <c r="FL103" s="29">
        <v>11.5909239047878</v>
      </c>
      <c r="FM103" s="28">
        <v>114.94443237952099</v>
      </c>
      <c r="FN103" s="29">
        <v>11.506404006514403</v>
      </c>
      <c r="FO103" s="28">
        <v>114.98197652705258</v>
      </c>
      <c r="FP103" s="29">
        <v>11.421525026749336</v>
      </c>
      <c r="FQ103" s="28">
        <v>115.01953293757931</v>
      </c>
      <c r="FR103" s="29">
        <v>11.336445169838363</v>
      </c>
      <c r="FS103" s="28">
        <v>115.0571016151066</v>
      </c>
      <c r="FT103" s="29">
        <v>11.251374643692632</v>
      </c>
      <c r="FU103" s="28">
        <v>115.09468256364124</v>
      </c>
      <c r="FV103" s="29">
        <v>11.166593297775659</v>
      </c>
      <c r="FW103" s="28">
        <v>115.13227578719125</v>
      </c>
      <c r="FX103" s="29">
        <v>11.082475192214281</v>
      </c>
      <c r="FY103" s="28">
        <v>115.16988128976602</v>
      </c>
      <c r="FZ103" s="29">
        <v>10.999523172246692</v>
      </c>
      <c r="GA103" s="28">
        <v>115.20749907537625</v>
      </c>
      <c r="GB103" s="29">
        <v>10.918417897973429</v>
      </c>
      <c r="GC103" s="28">
        <v>115.24512914803388</v>
      </c>
      <c r="GD103" s="29">
        <v>10.840087519673038</v>
      </c>
      <c r="GE103" s="28">
        <v>115.28277151175226</v>
      </c>
      <c r="GF103" s="29">
        <v>10.765805740896434</v>
      </c>
      <c r="GG103" s="28">
        <v>115.320426170546</v>
      </c>
      <c r="GH103" s="29">
        <v>10.697325052769132</v>
      </c>
      <c r="GI103" s="28">
        <v>115.35809312843098</v>
      </c>
      <c r="GJ103" s="29">
        <v>10.637040607046149</v>
      </c>
      <c r="GK103" s="28">
        <v>115.39577238942448</v>
      </c>
      <c r="GL103" s="29">
        <v>10.588134117237455</v>
      </c>
      <c r="GM103" s="28">
        <v>115.43346395754506</v>
      </c>
      <c r="GN103" s="29">
        <v>10.554493297373499</v>
      </c>
      <c r="GO103" s="28">
        <v>115.47116783681251</v>
      </c>
      <c r="GP103" s="29">
        <v>10.539726266800256</v>
      </c>
      <c r="GQ103" s="28">
        <v>115.50888403124809</v>
      </c>
      <c r="GR103" s="29">
        <v>10.543168843615108</v>
      </c>
      <c r="GS103" s="28">
        <v>115.54661254487424</v>
      </c>
      <c r="GT103" s="29">
        <v>10.546612544874236</v>
      </c>
    </row>
    <row r="104" spans="1:202" x14ac:dyDescent="0.25">
      <c r="C104" s="28">
        <v>107.07422180775475</v>
      </c>
      <c r="D104" s="29">
        <v>13.378273542495281</v>
      </c>
      <c r="E104" s="28">
        <v>107.10919531884322</v>
      </c>
      <c r="F104" s="29">
        <v>13.331087584231254</v>
      </c>
      <c r="G104" s="28">
        <v>107.14418025328324</v>
      </c>
      <c r="H104" s="29">
        <v>13.283612590121178</v>
      </c>
      <c r="I104" s="28">
        <v>107.17917661480598</v>
      </c>
      <c r="J104" s="29">
        <v>13.235844505031682</v>
      </c>
      <c r="K104" s="28">
        <v>107.2141844071439</v>
      </c>
      <c r="L104" s="29">
        <v>13.187779174209529</v>
      </c>
      <c r="M104" s="28">
        <v>107.24920363403061</v>
      </c>
      <c r="N104" s="29">
        <v>13.139412339958653</v>
      </c>
      <c r="O104" s="28">
        <v>107.28423429920096</v>
      </c>
      <c r="P104" s="29">
        <v>13.090739638025525</v>
      </c>
      <c r="Q104" s="28">
        <v>107.31927640639101</v>
      </c>
      <c r="R104" s="29">
        <v>13.041756593800848</v>
      </c>
      <c r="S104" s="28">
        <v>107.35432995933809</v>
      </c>
      <c r="T104" s="29">
        <v>12.992458618342368</v>
      </c>
      <c r="U104" s="28">
        <v>107.38939496178068</v>
      </c>
      <c r="V104" s="29">
        <v>12.9428410042102</v>
      </c>
      <c r="W104" s="28">
        <v>107.42447141745852</v>
      </c>
      <c r="X104" s="29">
        <v>12.892898921104686</v>
      </c>
      <c r="Y104" s="28">
        <v>107.45955933011257</v>
      </c>
      <c r="Z104" s="29">
        <v>12.842627411294965</v>
      </c>
      <c r="AA104" s="28">
        <v>107.494658703485</v>
      </c>
      <c r="AB104" s="29">
        <v>12.792021384826583</v>
      </c>
      <c r="AC104" s="28">
        <v>107.52976954131921</v>
      </c>
      <c r="AD104" s="29">
        <v>12.741075614494456</v>
      </c>
      <c r="AE104" s="28">
        <v>107.56489184735983</v>
      </c>
      <c r="AF104" s="29">
        <v>12.689784730567174</v>
      </c>
      <c r="AG104" s="28">
        <v>107.6000256253527</v>
      </c>
      <c r="AH104" s="29">
        <v>12.638143215247535</v>
      </c>
      <c r="AI104" s="28">
        <v>107.63517087904488</v>
      </c>
      <c r="AJ104" s="29">
        <v>12.586145396853064</v>
      </c>
      <c r="AK104" s="28">
        <v>107.67032761218466</v>
      </c>
      <c r="AL104" s="29">
        <v>12.533785443698692</v>
      </c>
      <c r="AM104" s="28">
        <v>107.70549582852159</v>
      </c>
      <c r="AN104" s="29">
        <v>12.481057357663291</v>
      </c>
      <c r="AO104" s="28">
        <v>107.74067553180639</v>
      </c>
      <c r="AP104" s="29">
        <v>12.427954967419472</v>
      </c>
      <c r="AQ104" s="28">
        <v>107.77586672579102</v>
      </c>
      <c r="AR104" s="29">
        <v>12.37447192130508</v>
      </c>
      <c r="AS104" s="28">
        <v>107.81106941422868</v>
      </c>
      <c r="AT104" s="29">
        <v>12.320601679812933</v>
      </c>
      <c r="AU104" s="28">
        <v>107.84628360087379</v>
      </c>
      <c r="AV104" s="29">
        <v>12.266337507673544</v>
      </c>
      <c r="AW104" s="28">
        <v>107.88150928948198</v>
      </c>
      <c r="AX104" s="29">
        <v>12.211672465503542</v>
      </c>
      <c r="AY104" s="28">
        <v>107.91674648381013</v>
      </c>
      <c r="AZ104" s="29">
        <v>12.156599400990501</v>
      </c>
      <c r="BA104" s="28">
        <v>107.95199518761635</v>
      </c>
      <c r="BB104" s="29">
        <v>12.10111093958221</v>
      </c>
      <c r="BC104" s="28">
        <v>107.98725540465995</v>
      </c>
      <c r="BD104" s="29">
        <v>12.045199474646097</v>
      </c>
      <c r="BE104" s="28">
        <v>108.02252713870148</v>
      </c>
      <c r="BF104" s="29">
        <v>11.988857157061526</v>
      </c>
      <c r="BG104" s="28">
        <v>108.05781039350275</v>
      </c>
      <c r="BH104" s="29">
        <v>11.932075884204698</v>
      </c>
      <c r="BI104" s="28">
        <v>108.09310517282674</v>
      </c>
      <c r="BJ104" s="29">
        <v>11.874847288282034</v>
      </c>
      <c r="BK104" s="28">
        <v>108.12841148043769</v>
      </c>
      <c r="BL104" s="29">
        <v>11.817162723964978</v>
      </c>
      <c r="BM104" s="28">
        <v>108.16372932010108</v>
      </c>
      <c r="BN104" s="29">
        <v>11.759013255273949</v>
      </c>
      <c r="BO104" s="28">
        <v>108.19905869558362</v>
      </c>
      <c r="BP104" s="29">
        <v>11.700389641655553</v>
      </c>
      <c r="BQ104" s="28">
        <v>108.23439961065321</v>
      </c>
      <c r="BR104" s="29">
        <v>11.641282323191589</v>
      </c>
      <c r="BS104" s="28">
        <v>108.26975206907905</v>
      </c>
      <c r="BT104" s="29">
        <v>11.58168140487296</v>
      </c>
      <c r="BU104" s="28">
        <v>108.30511607463148</v>
      </c>
      <c r="BV104" s="29">
        <v>11.521576639865469</v>
      </c>
      <c r="BW104" s="28">
        <v>108.34049163108216</v>
      </c>
      <c r="BX104" s="29">
        <v>11.460957411687627</v>
      </c>
      <c r="BY104" s="28">
        <v>108.37587874220394</v>
      </c>
      <c r="BZ104" s="29">
        <v>11.39981271521324</v>
      </c>
      <c r="CA104" s="28">
        <v>108.4112774117709</v>
      </c>
      <c r="CB104" s="29">
        <v>11.338131136402708</v>
      </c>
      <c r="CC104" s="28">
        <v>108.44668764355836</v>
      </c>
      <c r="CD104" s="29">
        <v>11.27590083065831</v>
      </c>
      <c r="CE104" s="28">
        <v>108.48210944134289</v>
      </c>
      <c r="CF104" s="29">
        <v>11.213109499687894</v>
      </c>
      <c r="CG104" s="28">
        <v>108.51754280890223</v>
      </c>
      <c r="CH104" s="29">
        <v>11.149744366749875</v>
      </c>
      <c r="CI104" s="28">
        <v>108.55298775001546</v>
      </c>
      <c r="CJ104" s="29">
        <v>11.085792150140017</v>
      </c>
      <c r="CK104" s="28">
        <v>108.58844426846278</v>
      </c>
      <c r="CL104" s="29">
        <v>11.021239034765165</v>
      </c>
      <c r="CM104" s="28">
        <v>108.62391236802573</v>
      </c>
      <c r="CN104" s="29">
        <v>10.956070641634312</v>
      </c>
      <c r="CO104" s="28">
        <v>108.65939205248699</v>
      </c>
      <c r="CP104" s="29">
        <v>10.890271995077581</v>
      </c>
      <c r="CQ104" s="28">
        <v>108.69488332563056</v>
      </c>
      <c r="CR104" s="29">
        <v>10.823827487484898</v>
      </c>
      <c r="CS104" s="28">
        <v>108.73038619124161</v>
      </c>
      <c r="CT104" s="29">
        <v>10.756720841332447</v>
      </c>
      <c r="CU104" s="28">
        <v>108.76590065310657</v>
      </c>
      <c r="CV104" s="29">
        <v>10.688935068239324</v>
      </c>
      <c r="CW104" s="28">
        <v>108.80142671501312</v>
      </c>
      <c r="CX104" s="29">
        <v>10.620452424767807</v>
      </c>
      <c r="CY104" s="28">
        <v>108.83696438075016</v>
      </c>
      <c r="CZ104" s="29">
        <v>10.551254364647695</v>
      </c>
      <c r="DA104" s="28">
        <v>108.87251365410785</v>
      </c>
      <c r="DB104" s="29">
        <v>10.481321487067689</v>
      </c>
      <c r="DC104" s="28">
        <v>108.90807453887753</v>
      </c>
      <c r="DD104" s="29">
        <v>10.410633480634843</v>
      </c>
      <c r="DE104" s="28">
        <v>108.94364703885188</v>
      </c>
      <c r="DF104" s="29">
        <v>10.339169062554628</v>
      </c>
      <c r="DG104" s="28">
        <v>108.97923115782471</v>
      </c>
      <c r="DH104" s="29">
        <v>10.266905912528905</v>
      </c>
      <c r="DI104" s="28">
        <v>109.01482689959113</v>
      </c>
      <c r="DJ104" s="29">
        <v>10.193820600807637</v>
      </c>
      <c r="DK104" s="28">
        <v>109.05043426794749</v>
      </c>
      <c r="DL104" s="29">
        <v>10.119888509757264</v>
      </c>
      <c r="DM104" s="28">
        <v>109.08605326669137</v>
      </c>
      <c r="DN104" s="29">
        <v>10.045083748227217</v>
      </c>
      <c r="DO104" s="28">
        <v>109.12168389962156</v>
      </c>
      <c r="DP104" s="29">
        <v>9.9693790579017385</v>
      </c>
      <c r="DQ104" s="28">
        <v>109.15732617053816</v>
      </c>
      <c r="DR104" s="29">
        <v>9.8927457107161523</v>
      </c>
      <c r="DS104" s="28">
        <v>109.19298008324242</v>
      </c>
      <c r="DT104" s="29">
        <v>9.8151533962905884</v>
      </c>
      <c r="DU104" s="28">
        <v>109.22864564153691</v>
      </c>
      <c r="DV104" s="29">
        <v>9.7365700981922796</v>
      </c>
      <c r="DW104" s="28">
        <v>109.26432284922544</v>
      </c>
      <c r="DX104" s="29">
        <v>9.6569619576683632</v>
      </c>
      <c r="DY104" s="28">
        <v>109.300011710113</v>
      </c>
      <c r="DZ104" s="29">
        <v>9.5762931233001911</v>
      </c>
      <c r="EA104" s="28">
        <v>109.33571222800586</v>
      </c>
      <c r="EB104" s="29">
        <v>9.4945255848056771</v>
      </c>
      <c r="EC104" s="28">
        <v>109.37142440671155</v>
      </c>
      <c r="ED104" s="29">
        <v>9.411618988956274</v>
      </c>
      <c r="EE104" s="28">
        <v>109.40714825003882</v>
      </c>
      <c r="EF104" s="29">
        <v>9.3275304352742516</v>
      </c>
      <c r="EG104" s="28">
        <v>109.44288376179765</v>
      </c>
      <c r="EH104" s="29">
        <v>9.242214248825336</v>
      </c>
      <c r="EI104" s="28">
        <v>109.47863094579931</v>
      </c>
      <c r="EJ104" s="29">
        <v>9.1556217270147204</v>
      </c>
      <c r="EK104" s="28">
        <v>109.51438980585627</v>
      </c>
      <c r="EL104" s="29">
        <v>9.0677008568227571</v>
      </c>
      <c r="EM104" s="28">
        <v>109.55016034578229</v>
      </c>
      <c r="EN104" s="29">
        <v>8.9783959983714787</v>
      </c>
      <c r="EO104" s="28">
        <v>109.58594256939233</v>
      </c>
      <c r="EP104" s="29">
        <v>8.8876475300842337</v>
      </c>
      <c r="EQ104" s="28">
        <v>109.62173648050261</v>
      </c>
      <c r="ER104" s="29">
        <v>8.7953914499833239</v>
      </c>
      <c r="ES104" s="28">
        <v>109.65754208293063</v>
      </c>
      <c r="ET104" s="29">
        <v>8.7015589268595335</v>
      </c>
      <c r="EU104" s="28">
        <v>109.69335938049508</v>
      </c>
      <c r="EV104" s="29">
        <v>8.6060757941480279</v>
      </c>
      <c r="EW104" s="28">
        <v>109.72918837701594</v>
      </c>
      <c r="EX104" s="29">
        <v>8.5088619783772543</v>
      </c>
      <c r="EY104" s="28">
        <v>109.76502907631443</v>
      </c>
      <c r="EZ104" s="29">
        <v>8.4098308530688417</v>
      </c>
      <c r="FA104" s="28">
        <v>109.800881482213</v>
      </c>
      <c r="FB104" s="29">
        <v>8.3088885080543928</v>
      </c>
      <c r="FC104" s="28">
        <v>109.83674559853537</v>
      </c>
      <c r="FD104" s="29">
        <v>8.2059329235289216</v>
      </c>
      <c r="FE104" s="28">
        <v>109.8726214291065</v>
      </c>
      <c r="FF104" s="29">
        <v>8.1008530381217589</v>
      </c>
      <c r="FG104" s="28">
        <v>109.9085089777526</v>
      </c>
      <c r="FH104" s="29">
        <v>7.9935277014650366</v>
      </c>
      <c r="FI104" s="28">
        <v>109.94440824830113</v>
      </c>
      <c r="FJ104" s="29">
        <v>7.8838245053081852</v>
      </c>
      <c r="FK104" s="28">
        <v>109.9803192445808</v>
      </c>
      <c r="FL104" s="29">
        <v>7.7715984952213226</v>
      </c>
      <c r="FM104" s="28">
        <v>110.01624197042158</v>
      </c>
      <c r="FN104" s="29">
        <v>7.6566907811224745</v>
      </c>
      <c r="FO104" s="28">
        <v>110.05217642965464</v>
      </c>
      <c r="FP104" s="29">
        <v>7.5389270962738228</v>
      </c>
      <c r="FQ104" s="28">
        <v>110.08812262611248</v>
      </c>
      <c r="FR104" s="29">
        <v>7.4181164143605036</v>
      </c>
      <c r="FS104" s="28">
        <v>110.12408056362879</v>
      </c>
      <c r="FT104" s="29">
        <v>7.2940498487853809</v>
      </c>
      <c r="FU104" s="28">
        <v>110.16005024603858</v>
      </c>
      <c r="FV104" s="29">
        <v>7.1665002795007045</v>
      </c>
      <c r="FW104" s="28">
        <v>110.19603167717801</v>
      </c>
      <c r="FX104" s="29">
        <v>7.0352235884567529</v>
      </c>
      <c r="FY104" s="28">
        <v>110.23202486088461</v>
      </c>
      <c r="FZ104" s="29">
        <v>6.8999632662946739</v>
      </c>
      <c r="GA104" s="28">
        <v>110.26802980099707</v>
      </c>
      <c r="GB104" s="29">
        <v>6.7604619934206189</v>
      </c>
      <c r="GC104" s="28">
        <v>110.30404650135536</v>
      </c>
      <c r="GD104" s="29">
        <v>6.6164877775110353</v>
      </c>
      <c r="GE104" s="28">
        <v>110.34007496580074</v>
      </c>
      <c r="GF104" s="29">
        <v>6.4678911488588211</v>
      </c>
      <c r="GG104" s="28">
        <v>110.3761151981757</v>
      </c>
      <c r="GH104" s="29">
        <v>6.3147306379753001</v>
      </c>
      <c r="GI104" s="28">
        <v>110.41216720232394</v>
      </c>
      <c r="GJ104" s="29">
        <v>6.1575535606354972</v>
      </c>
      <c r="GK104" s="28">
        <v>110.44823098209051</v>
      </c>
      <c r="GL104" s="29">
        <v>5.99804253448817</v>
      </c>
      <c r="GM104" s="28">
        <v>110.48430654132164</v>
      </c>
      <c r="GN104" s="29">
        <v>5.8405522392516449</v>
      </c>
      <c r="GO104" s="28">
        <v>110.52039388386484</v>
      </c>
      <c r="GP104" s="29">
        <v>5.6958789777458385</v>
      </c>
      <c r="GQ104" s="28">
        <v>110.5564930135689</v>
      </c>
      <c r="GR104" s="29">
        <v>5.5907778259359038</v>
      </c>
      <c r="GS104" s="28">
        <v>110.59260393428382</v>
      </c>
      <c r="GT104" s="29">
        <v>5.5926039342838152</v>
      </c>
    </row>
    <row r="105" spans="1:202" x14ac:dyDescent="0.25">
      <c r="A105" s="28">
        <v>102.45</v>
      </c>
      <c r="B105" s="29">
        <v>10.685987741659035</v>
      </c>
      <c r="C105" s="28">
        <v>102.48346310765112</v>
      </c>
      <c r="D105" s="29">
        <v>10.63825941138046</v>
      </c>
      <c r="E105" s="28">
        <v>102.51693714531272</v>
      </c>
      <c r="F105" s="29">
        <v>10.590235334932679</v>
      </c>
      <c r="G105" s="28">
        <v>102.55042211655486</v>
      </c>
      <c r="H105" s="29">
        <v>10.541911216818946</v>
      </c>
      <c r="I105" s="28">
        <v>102.58391802494874</v>
      </c>
      <c r="J105" s="29">
        <v>10.4932826522423</v>
      </c>
      <c r="K105" s="28">
        <v>102.61742487406677</v>
      </c>
      <c r="L105" s="29">
        <v>10.444345123197355</v>
      </c>
      <c r="M105" s="28">
        <v>102.6509426674825</v>
      </c>
      <c r="N105" s="29">
        <v>10.395093994323203</v>
      </c>
      <c r="O105" s="28">
        <v>102.68447140877065</v>
      </c>
      <c r="P105" s="29">
        <v>10.345524508551501</v>
      </c>
      <c r="Q105" s="28">
        <v>102.7180111015071</v>
      </c>
      <c r="R105" s="29">
        <v>10.295631782543007</v>
      </c>
      <c r="S105" s="28">
        <v>102.75156174926893</v>
      </c>
      <c r="T105" s="29">
        <v>10.245410801900931</v>
      </c>
      <c r="U105" s="28">
        <v>102.78512335563434</v>
      </c>
      <c r="V105" s="29">
        <v>10.194856416147486</v>
      </c>
      <c r="W105" s="28">
        <v>102.81869592418273</v>
      </c>
      <c r="X105" s="29">
        <v>10.14396333344961</v>
      </c>
      <c r="Y105" s="28">
        <v>102.85227945849468</v>
      </c>
      <c r="Z105" s="29">
        <v>10.092726115077948</v>
      </c>
      <c r="AA105" s="28">
        <v>102.8858739621519</v>
      </c>
      <c r="AB105" s="29">
        <v>10.041139169582845</v>
      </c>
      <c r="AC105" s="28">
        <v>102.91947943873731</v>
      </c>
      <c r="AD105" s="29">
        <v>9.9891967466689362</v>
      </c>
      <c r="AE105" s="28">
        <v>102.95309589183498</v>
      </c>
      <c r="AF105" s="29">
        <v>9.9368929307495204</v>
      </c>
      <c r="AG105" s="28">
        <v>102.98672332503014</v>
      </c>
      <c r="AH105" s="29">
        <v>9.8842216341597897</v>
      </c>
      <c r="AI105" s="28">
        <v>103.02036174190921</v>
      </c>
      <c r="AJ105" s="29">
        <v>9.8311765900064074</v>
      </c>
      <c r="AK105" s="28">
        <v>103.05401114605979</v>
      </c>
      <c r="AL105" s="29">
        <v>9.7777513446295945</v>
      </c>
      <c r="AM105" s="28">
        <v>103.08767154107063</v>
      </c>
      <c r="AN105" s="29">
        <v>9.7239392496514814</v>
      </c>
      <c r="AO105" s="28">
        <v>103.12134293053165</v>
      </c>
      <c r="AP105" s="29">
        <v>9.6697334535827189</v>
      </c>
      <c r="AQ105" s="28">
        <v>103.15502531803398</v>
      </c>
      <c r="AR105" s="29">
        <v>9.6151268929568552</v>
      </c>
      <c r="AS105" s="28">
        <v>103.18871870716987</v>
      </c>
      <c r="AT105" s="29">
        <v>9.5601122829596559</v>
      </c>
      <c r="AU105" s="28">
        <v>103.22242310153277</v>
      </c>
      <c r="AV105" s="29">
        <v>9.5046821075176009</v>
      </c>
      <c r="AW105" s="28">
        <v>103.25613850471731</v>
      </c>
      <c r="AX105" s="29">
        <v>9.4488286088069895</v>
      </c>
      <c r="AY105" s="28">
        <v>103.28986492031929</v>
      </c>
      <c r="AZ105" s="29">
        <v>9.39254377614151</v>
      </c>
      <c r="BA105" s="28">
        <v>103.32360235193568</v>
      </c>
      <c r="BB105" s="29">
        <v>9.3358193341926814</v>
      </c>
      <c r="BC105" s="28">
        <v>103.35735080316461</v>
      </c>
      <c r="BD105" s="29">
        <v>9.2786467304936888</v>
      </c>
      <c r="BE105" s="28">
        <v>103.39111027760542</v>
      </c>
      <c r="BF105" s="29">
        <v>9.2210171221721655</v>
      </c>
      <c r="BG105" s="28">
        <v>103.42488077885861</v>
      </c>
      <c r="BH105" s="29">
        <v>9.1629213618530745</v>
      </c>
      <c r="BI105" s="28">
        <v>103.45866231052584</v>
      </c>
      <c r="BJ105" s="29">
        <v>9.1043499826675998</v>
      </c>
      <c r="BK105" s="28">
        <v>103.49245487620996</v>
      </c>
      <c r="BL105" s="29">
        <v>9.045293182296847</v>
      </c>
      <c r="BM105" s="28">
        <v>103.52625847951501</v>
      </c>
      <c r="BN105" s="29">
        <v>8.9857408059743875</v>
      </c>
      <c r="BO105" s="28">
        <v>103.56007312404617</v>
      </c>
      <c r="BP105" s="29">
        <v>8.9256823283620523</v>
      </c>
      <c r="BQ105" s="28">
        <v>103.59389881340984</v>
      </c>
      <c r="BR105" s="29">
        <v>8.8651068342072286</v>
      </c>
      <c r="BS105" s="28">
        <v>103.62773555121358</v>
      </c>
      <c r="BT105" s="29">
        <v>8.8040029976792553</v>
      </c>
      <c r="BU105" s="28">
        <v>103.66158334106611</v>
      </c>
      <c r="BV105" s="29">
        <v>8.7423590602731771</v>
      </c>
      <c r="BW105" s="28">
        <v>103.69544218657735</v>
      </c>
      <c r="BX105" s="29">
        <v>8.680162807157453</v>
      </c>
      <c r="BY105" s="28">
        <v>103.72931209135841</v>
      </c>
      <c r="BZ105" s="29">
        <v>8.6174015418290146</v>
      </c>
      <c r="CA105" s="28">
        <v>103.76319305902156</v>
      </c>
      <c r="CB105" s="29">
        <v>8.5540620589256449</v>
      </c>
      <c r="CC105" s="28">
        <v>103.79708509318026</v>
      </c>
      <c r="CD105" s="29">
        <v>8.4901306150285532</v>
      </c>
      <c r="CE105" s="28">
        <v>103.83098819744913</v>
      </c>
      <c r="CF105" s="29">
        <v>8.4255928972707324</v>
      </c>
      <c r="CG105" s="28">
        <v>103.86490237544399</v>
      </c>
      <c r="CH105" s="29">
        <v>8.3604339895455322</v>
      </c>
      <c r="CI105" s="28">
        <v>103.89882763078184</v>
      </c>
      <c r="CJ105" s="29">
        <v>8.2946383360875853</v>
      </c>
      <c r="CK105" s="28">
        <v>103.93276396708085</v>
      </c>
      <c r="CL105" s="29">
        <v>8.2281897021711412</v>
      </c>
      <c r="CM105" s="28">
        <v>103.96671138796039</v>
      </c>
      <c r="CN105" s="29">
        <v>8.1610711316422204</v>
      </c>
      <c r="CO105" s="28">
        <v>104.00066989704099</v>
      </c>
      <c r="CP105" s="29">
        <v>8.0932649009663482</v>
      </c>
      <c r="CQ105" s="28">
        <v>104.0346394979444</v>
      </c>
      <c r="CR105" s="29">
        <v>8.0247524694358674</v>
      </c>
      <c r="CS105" s="28">
        <v>104.0686201942935</v>
      </c>
      <c r="CT105" s="29">
        <v>7.9555144251366974</v>
      </c>
      <c r="CU105" s="28">
        <v>104.10261198971239</v>
      </c>
      <c r="CV105" s="29">
        <v>7.8855304262240251</v>
      </c>
      <c r="CW105" s="28">
        <v>104.13661488782634</v>
      </c>
      <c r="CX105" s="29">
        <v>7.8147791369988751</v>
      </c>
      <c r="CY105" s="28">
        <v>104.17062889226182</v>
      </c>
      <c r="CZ105" s="29">
        <v>7.7432381582113354</v>
      </c>
      <c r="DA105" s="28">
        <v>104.20465400664646</v>
      </c>
      <c r="DB105" s="29">
        <v>7.6708839509389879</v>
      </c>
      <c r="DC105" s="28">
        <v>104.23869023460909</v>
      </c>
      <c r="DD105" s="29">
        <v>7.597691753301075</v>
      </c>
      <c r="DE105" s="28">
        <v>104.27273757977974</v>
      </c>
      <c r="DF105" s="29">
        <v>7.5236354891658239</v>
      </c>
      <c r="DG105" s="28">
        <v>104.3067960457896</v>
      </c>
      <c r="DH105" s="29">
        <v>7.4486876678884979</v>
      </c>
      <c r="DI105" s="28">
        <v>104.34086563627103</v>
      </c>
      <c r="DJ105" s="29">
        <v>7.3728192739777825</v>
      </c>
      <c r="DK105" s="28">
        <v>104.37494635485764</v>
      </c>
      <c r="DL105" s="29">
        <v>7.29599964542472</v>
      </c>
      <c r="DM105" s="28">
        <v>104.40903820518416</v>
      </c>
      <c r="DN105" s="29">
        <v>7.2181963392354875</v>
      </c>
      <c r="DO105" s="28">
        <v>104.44314119088655</v>
      </c>
      <c r="DP105" s="29">
        <v>7.1393749824814767</v>
      </c>
      <c r="DQ105" s="28">
        <v>104.47725531560194</v>
      </c>
      <c r="DR105" s="29">
        <v>7.0594991069120665</v>
      </c>
      <c r="DS105" s="28">
        <v>104.51138058296864</v>
      </c>
      <c r="DT105" s="29">
        <v>6.978529964854383</v>
      </c>
      <c r="DU105" s="28">
        <v>104.54551699662618</v>
      </c>
      <c r="DV105" s="29">
        <v>6.8964263237424959</v>
      </c>
      <c r="DW105" s="28">
        <v>104.57966456021525</v>
      </c>
      <c r="DX105" s="29">
        <v>6.8131442361606309</v>
      </c>
      <c r="DY105" s="28">
        <v>104.61382327737773</v>
      </c>
      <c r="DZ105" s="29">
        <v>6.7286367817323001</v>
      </c>
      <c r="EA105" s="28">
        <v>104.64799315175671</v>
      </c>
      <c r="EB105" s="29">
        <v>6.6428537765195914</v>
      </c>
      <c r="EC105" s="28">
        <v>104.68217418699645</v>
      </c>
      <c r="ED105" s="29">
        <v>6.5557414447841476</v>
      </c>
      <c r="EE105" s="28">
        <v>104.71636638674239</v>
      </c>
      <c r="EF105" s="29">
        <v>6.4672420469673506</v>
      </c>
      <c r="EG105" s="28">
        <v>104.75056975464121</v>
      </c>
      <c r="EH105" s="29">
        <v>6.3772934565250621</v>
      </c>
      <c r="EI105" s="28">
        <v>104.78478429434072</v>
      </c>
      <c r="EJ105" s="29">
        <v>6.2858286767401061</v>
      </c>
      <c r="EK105" s="28">
        <v>104.81901000948997</v>
      </c>
      <c r="EL105" s="29">
        <v>6.192775286753526</v>
      </c>
      <c r="EM105" s="28">
        <v>104.85324690373918</v>
      </c>
      <c r="EN105" s="29">
        <v>6.0980548036968001</v>
      </c>
      <c r="EO105" s="28">
        <v>104.88749498073976</v>
      </c>
      <c r="EP105" s="29">
        <v>6.0015819448287342</v>
      </c>
      <c r="EQ105" s="28">
        <v>104.92175424414431</v>
      </c>
      <c r="ER105" s="29">
        <v>5.9032637697949646</v>
      </c>
      <c r="ES105" s="28">
        <v>104.95602469760665</v>
      </c>
      <c r="ET105" s="29">
        <v>5.8029986782727674</v>
      </c>
      <c r="EU105" s="28">
        <v>104.99030634478176</v>
      </c>
      <c r="EV105" s="29">
        <v>5.7006752319847314</v>
      </c>
      <c r="EW105" s="28">
        <v>105.02459918932583</v>
      </c>
      <c r="EX105" s="29">
        <v>5.5961707618686276</v>
      </c>
      <c r="EY105" s="28">
        <v>105.05890323489623</v>
      </c>
      <c r="EZ105" s="29">
        <v>5.4893497103854187</v>
      </c>
      <c r="FA105" s="28">
        <v>105.09321848515155</v>
      </c>
      <c r="FB105" s="29">
        <v>5.3800616445418052</v>
      </c>
      <c r="FC105" s="28">
        <v>105.12754494375156</v>
      </c>
      <c r="FD105" s="29">
        <v>5.2681388557803386</v>
      </c>
      <c r="FE105" s="28">
        <v>105.16188261435722</v>
      </c>
      <c r="FF105" s="29">
        <v>5.1533934363541993</v>
      </c>
      <c r="FG105" s="28">
        <v>105.19623150063072</v>
      </c>
      <c r="FH105" s="29">
        <v>5.0356136850483759</v>
      </c>
      <c r="FI105" s="28">
        <v>105.23059160623538</v>
      </c>
      <c r="FJ105" s="29">
        <v>4.9145596433999161</v>
      </c>
      <c r="FK105" s="28">
        <v>105.26496293483578</v>
      </c>
      <c r="FL105" s="29">
        <v>4.7899574895832346</v>
      </c>
      <c r="FM105" s="28">
        <v>105.29934549009766</v>
      </c>
      <c r="FN105" s="29">
        <v>4.6614924092261507</v>
      </c>
      <c r="FO105" s="28">
        <v>105.33373927568798</v>
      </c>
      <c r="FP105" s="29">
        <v>4.5287994016801294</v>
      </c>
      <c r="FQ105" s="28">
        <v>105.36814429527487</v>
      </c>
      <c r="FR105" s="29">
        <v>4.3914512349650305</v>
      </c>
      <c r="FS105" s="28">
        <v>105.40256055252769</v>
      </c>
      <c r="FT105" s="29">
        <v>4.2489423778358031</v>
      </c>
      <c r="FU105" s="28">
        <v>105.43698805111698</v>
      </c>
      <c r="FV105" s="29">
        <v>4.1006671146108271</v>
      </c>
      <c r="FW105" s="28">
        <v>105.47142679471449</v>
      </c>
      <c r="FX105" s="29">
        <v>3.9458890033756222</v>
      </c>
      <c r="FY105" s="28">
        <v>105.50587678699316</v>
      </c>
      <c r="FZ105" s="29">
        <v>3.7836970114711193</v>
      </c>
      <c r="GA105" s="28">
        <v>105.54033803162712</v>
      </c>
      <c r="GB105" s="29">
        <v>3.6129403196512491</v>
      </c>
      <c r="GC105" s="28">
        <v>105.57481053229171</v>
      </c>
      <c r="GD105" s="29">
        <v>3.4321273580408591</v>
      </c>
      <c r="GE105" s="28">
        <v>105.60929429266349</v>
      </c>
      <c r="GF105" s="29">
        <v>3.2392616129469949</v>
      </c>
      <c r="GG105" s="28">
        <v>105.6437893164202</v>
      </c>
      <c r="GH105" s="29">
        <v>3.0315589433281991</v>
      </c>
      <c r="GI105" s="28">
        <v>105.67829560724077</v>
      </c>
      <c r="GJ105" s="29">
        <v>2.8049287833522891</v>
      </c>
      <c r="GK105" s="28">
        <v>105.71281316880535</v>
      </c>
      <c r="GL105" s="29">
        <v>2.552955259448134</v>
      </c>
      <c r="GM105" s="28">
        <v>105.7473420047953</v>
      </c>
      <c r="GN105" s="29">
        <v>2.2647570509917681</v>
      </c>
      <c r="GO105" s="28">
        <v>105.78188211889317</v>
      </c>
      <c r="GP105" s="29">
        <v>1.9202036629387338</v>
      </c>
      <c r="GQ105" s="28">
        <v>105.8164335147827</v>
      </c>
      <c r="GR105" s="29">
        <v>1.4786295735797348</v>
      </c>
      <c r="GS105" s="28">
        <v>105.85099619614886</v>
      </c>
      <c r="GT105" s="29">
        <v>0.85099619614885569</v>
      </c>
    </row>
    <row r="106" spans="1:202" x14ac:dyDescent="0.25">
      <c r="C106" s="28">
        <v>98.08953110483057</v>
      </c>
      <c r="D106" s="29">
        <v>8.316398167632256</v>
      </c>
      <c r="E106" s="28">
        <v>98.121569958308456</v>
      </c>
      <c r="F106" s="29">
        <v>8.2692165492953862</v>
      </c>
      <c r="G106" s="28">
        <v>98.153619276594554</v>
      </c>
      <c r="H106" s="29">
        <v>8.2217490047049875</v>
      </c>
      <c r="I106" s="28">
        <v>98.185679063107003</v>
      </c>
      <c r="J106" s="29">
        <v>8.1739914277955901</v>
      </c>
      <c r="K106" s="28">
        <v>98.217749321264989</v>
      </c>
      <c r="L106" s="29">
        <v>8.1259396090209748</v>
      </c>
      <c r="M106" s="28">
        <v>98.249830054488882</v>
      </c>
      <c r="N106" s="29">
        <v>8.0775892318124942</v>
      </c>
      <c r="O106" s="28">
        <v>98.281921266200143</v>
      </c>
      <c r="P106" s="29">
        <v>8.0289358687166974</v>
      </c>
      <c r="Q106" s="28">
        <v>98.314022959821315</v>
      </c>
      <c r="R106" s="29">
        <v>7.9799749773322564</v>
      </c>
      <c r="S106" s="28">
        <v>98.34613513877612</v>
      </c>
      <c r="T106" s="29">
        <v>7.9307018960506657</v>
      </c>
      <c r="U106" s="28">
        <v>98.378257806489344</v>
      </c>
      <c r="V106" s="29">
        <v>7.8811118395909938</v>
      </c>
      <c r="W106" s="28">
        <v>98.410390966386942</v>
      </c>
      <c r="X106" s="29">
        <v>7.8311998943164802</v>
      </c>
      <c r="Y106" s="28">
        <v>98.442534621895931</v>
      </c>
      <c r="Z106" s="29">
        <v>7.7809610133201517</v>
      </c>
      <c r="AA106" s="28">
        <v>98.474688776444509</v>
      </c>
      <c r="AB106" s="29">
        <v>7.7303900112653254</v>
      </c>
      <c r="AC106" s="28">
        <v>98.506853433461956</v>
      </c>
      <c r="AD106" s="29">
        <v>7.6794815589656666</v>
      </c>
      <c r="AE106" s="28">
        <v>98.539028596378657</v>
      </c>
      <c r="AF106" s="29">
        <v>7.6282301776888302</v>
      </c>
      <c r="AG106" s="28">
        <v>98.571214268626179</v>
      </c>
      <c r="AH106" s="29">
        <v>7.5766302331662221</v>
      </c>
      <c r="AI106" s="28">
        <v>98.603410453637125</v>
      </c>
      <c r="AJ106" s="29">
        <v>7.5246759292898053</v>
      </c>
      <c r="AK106" s="28">
        <v>98.635617154845306</v>
      </c>
      <c r="AL106" s="29">
        <v>7.4723613014761856</v>
      </c>
      <c r="AM106" s="28">
        <v>98.667834375685587</v>
      </c>
      <c r="AN106" s="29">
        <v>7.4196802096757919</v>
      </c>
      <c r="AO106" s="28">
        <v>98.700062119593994</v>
      </c>
      <c r="AP106" s="29">
        <v>7.3666263310042135</v>
      </c>
      <c r="AQ106" s="28">
        <v>98.732300390007666</v>
      </c>
      <c r="AR106" s="29">
        <v>7.3131931519696458</v>
      </c>
      <c r="AS106" s="28">
        <v>98.76454919036486</v>
      </c>
      <c r="AT106" s="29">
        <v>7.259373960269853</v>
      </c>
      <c r="AU106" s="28">
        <v>98.796808524104947</v>
      </c>
      <c r="AV106" s="29">
        <v>7.2051618361285508</v>
      </c>
      <c r="AW106" s="28">
        <v>98.829078394668429</v>
      </c>
      <c r="AX106" s="29">
        <v>7.1505496431395486</v>
      </c>
      <c r="AY106" s="28">
        <v>98.861358805496948</v>
      </c>
      <c r="AZ106" s="29">
        <v>7.0955300185836894</v>
      </c>
      <c r="BA106" s="28">
        <v>98.893649760033256</v>
      </c>
      <c r="BB106" s="29">
        <v>7.0400953631814112</v>
      </c>
      <c r="BC106" s="28">
        <v>98.925951261721224</v>
      </c>
      <c r="BD106" s="29">
        <v>6.9842378302396932</v>
      </c>
      <c r="BE106" s="28">
        <v>98.958263314005862</v>
      </c>
      <c r="BF106" s="29">
        <v>6.9279493141495152</v>
      </c>
      <c r="BG106" s="28">
        <v>98.990585920333288</v>
      </c>
      <c r="BH106" s="29">
        <v>6.8712214381853718</v>
      </c>
      <c r="BI106" s="28">
        <v>99.022919084150757</v>
      </c>
      <c r="BJ106" s="29">
        <v>6.8140455415544547</v>
      </c>
      <c r="BK106" s="28">
        <v>99.055262808906662</v>
      </c>
      <c r="BL106" s="29">
        <v>6.7564126656384964</v>
      </c>
      <c r="BM106" s="28">
        <v>99.087617098050487</v>
      </c>
      <c r="BN106" s="29">
        <v>6.6983135393653894</v>
      </c>
      <c r="BO106" s="28">
        <v>99.11998195503287</v>
      </c>
      <c r="BP106" s="29">
        <v>6.6397385636429522</v>
      </c>
      <c r="BQ106" s="28">
        <v>99.152357383305571</v>
      </c>
      <c r="BR106" s="29">
        <v>6.5806777947800157</v>
      </c>
      <c r="BS106" s="28">
        <v>99.184743386321486</v>
      </c>
      <c r="BT106" s="29">
        <v>6.5211209268129844</v>
      </c>
      <c r="BU106" s="28">
        <v>99.217139967534607</v>
      </c>
      <c r="BV106" s="29">
        <v>6.4610572726485929</v>
      </c>
      <c r="BW106" s="28">
        <v>99.249547130400103</v>
      </c>
      <c r="BX106" s="29">
        <v>6.4004757439240771</v>
      </c>
      <c r="BY106" s="28">
        <v>99.281964878374225</v>
      </c>
      <c r="BZ106" s="29">
        <v>6.3393648294771117</v>
      </c>
      <c r="CA106" s="28">
        <v>99.314393214914389</v>
      </c>
      <c r="CB106" s="29">
        <v>6.2777125723057416</v>
      </c>
      <c r="CC106" s="28">
        <v>99.346832143479119</v>
      </c>
      <c r="CD106" s="29">
        <v>6.2155065448874378</v>
      </c>
      <c r="CE106" s="28">
        <v>99.379281667528076</v>
      </c>
      <c r="CF106" s="29">
        <v>6.1527338227119444</v>
      </c>
      <c r="CG106" s="28">
        <v>99.411741790522029</v>
      </c>
      <c r="CH106" s="29">
        <v>6.0893809558674512</v>
      </c>
      <c r="CI106" s="28">
        <v>99.444212515922928</v>
      </c>
      <c r="CJ106" s="29">
        <v>6.0254339385022995</v>
      </c>
      <c r="CK106" s="28">
        <v>99.4766938471938</v>
      </c>
      <c r="CL106" s="29">
        <v>5.9608781759649565</v>
      </c>
      <c r="CM106" s="28">
        <v>99.509185787798842</v>
      </c>
      <c r="CN106" s="29">
        <v>5.8956984494029863</v>
      </c>
      <c r="CO106" s="28">
        <v>99.541688341203354</v>
      </c>
      <c r="CP106" s="29">
        <v>5.8298788775766841</v>
      </c>
      <c r="CQ106" s="28">
        <v>99.574201510873792</v>
      </c>
      <c r="CR106" s="29">
        <v>5.7634028756154132</v>
      </c>
      <c r="CS106" s="28">
        <v>99.606725300277716</v>
      </c>
      <c r="CT106" s="29">
        <v>5.6962531104117682</v>
      </c>
      <c r="CU106" s="28">
        <v>99.639259712883856</v>
      </c>
      <c r="CV106" s="29">
        <v>5.6284114523134452</v>
      </c>
      <c r="CW106" s="28">
        <v>99.671804752162046</v>
      </c>
      <c r="CX106" s="29">
        <v>5.5598589227300259</v>
      </c>
      <c r="CY106" s="28">
        <v>99.704360421583246</v>
      </c>
      <c r="CZ106" s="29">
        <v>5.4905756372253229</v>
      </c>
      <c r="DA106" s="28">
        <v>99.736926724619607</v>
      </c>
      <c r="DB106" s="29">
        <v>5.4205407436111956</v>
      </c>
      <c r="DC106" s="28">
        <v>99.76950366474432</v>
      </c>
      <c r="DD106" s="29">
        <v>5.3497323544963331</v>
      </c>
      <c r="DE106" s="28">
        <v>99.802091245431797</v>
      </c>
      <c r="DF106" s="29">
        <v>5.2781274736718373</v>
      </c>
      <c r="DG106" s="28">
        <v>99.834689470157556</v>
      </c>
      <c r="DH106" s="29">
        <v>5.205701915632023</v>
      </c>
      <c r="DI106" s="28">
        <v>99.867298342398215</v>
      </c>
      <c r="DJ106" s="29">
        <v>5.1324302174334173</v>
      </c>
      <c r="DK106" s="28">
        <v>99.899917865631579</v>
      </c>
      <c r="DL106" s="29">
        <v>5.0582855419833095</v>
      </c>
      <c r="DM106" s="28">
        <v>99.932548043336553</v>
      </c>
      <c r="DN106" s="29">
        <v>4.9832395717185065</v>
      </c>
      <c r="DO106" s="28">
        <v>99.965188878993217</v>
      </c>
      <c r="DP106" s="29">
        <v>4.9072623914851707</v>
      </c>
      <c r="DQ106" s="28">
        <v>99.997840376082749</v>
      </c>
      <c r="DR106" s="29">
        <v>4.8303223592507898</v>
      </c>
      <c r="DS106" s="28">
        <v>100.03050253808746</v>
      </c>
      <c r="DT106" s="29">
        <v>4.7523859630727268</v>
      </c>
      <c r="DU106" s="28">
        <v>100.06317536849085</v>
      </c>
      <c r="DV106" s="29">
        <v>4.6734176624998485</v>
      </c>
      <c r="DW106" s="28">
        <v>100.09585887077752</v>
      </c>
      <c r="DX106" s="29">
        <v>4.5933797122934115</v>
      </c>
      <c r="DY106" s="28">
        <v>100.12855304843319</v>
      </c>
      <c r="DZ106" s="29">
        <v>4.512231966006456</v>
      </c>
      <c r="EA106" s="28">
        <v>100.16125790494476</v>
      </c>
      <c r="EB106" s="29">
        <v>4.4299316565484661</v>
      </c>
      <c r="EC106" s="28">
        <v>100.19397344380026</v>
      </c>
      <c r="ED106" s="29">
        <v>4.3464331503673481</v>
      </c>
      <c r="EE106" s="28">
        <v>100.22669966848882</v>
      </c>
      <c r="EF106" s="29">
        <v>4.2616876712862242</v>
      </c>
      <c r="EG106" s="28">
        <v>100.25943658250075</v>
      </c>
      <c r="EH106" s="29">
        <v>4.1756429893148059</v>
      </c>
      <c r="EI106" s="28">
        <v>100.2921841893275</v>
      </c>
      <c r="EJ106" s="29">
        <v>4.0882430688837923</v>
      </c>
      <c r="EK106" s="28">
        <v>100.32494249246164</v>
      </c>
      <c r="EL106" s="29">
        <v>3.9994276698897555</v>
      </c>
      <c r="EM106" s="28">
        <v>100.35771149539691</v>
      </c>
      <c r="EN106" s="29">
        <v>3.9091318936372859</v>
      </c>
      <c r="EO106" s="28">
        <v>100.39049120162815</v>
      </c>
      <c r="EP106" s="29">
        <v>3.8172856641667869</v>
      </c>
      <c r="EQ106" s="28">
        <v>100.42328161465137</v>
      </c>
      <c r="ER106" s="29">
        <v>3.7238131334748172</v>
      </c>
      <c r="ES106" s="28">
        <v>100.45608273796371</v>
      </c>
      <c r="ET106" s="29">
        <v>3.6286319966741285</v>
      </c>
      <c r="EU106" s="28">
        <v>100.48889457506348</v>
      </c>
      <c r="EV106" s="29">
        <v>3.5316527000600368</v>
      </c>
      <c r="EW106" s="28">
        <v>100.52171712945008</v>
      </c>
      <c r="EX106" s="29">
        <v>3.4327775211801019</v>
      </c>
      <c r="EY106" s="28">
        <v>100.55455040462411</v>
      </c>
      <c r="EZ106" s="29">
        <v>3.3318994951084182</v>
      </c>
      <c r="FA106" s="28">
        <v>100.58739440408725</v>
      </c>
      <c r="FB106" s="29">
        <v>3.2289011549053082</v>
      </c>
      <c r="FC106" s="28">
        <v>100.62024913134239</v>
      </c>
      <c r="FD106" s="29">
        <v>3.1236530462954102</v>
      </c>
      <c r="FE106" s="28">
        <v>100.65311458989353</v>
      </c>
      <c r="FF106" s="29">
        <v>3.0160119663994278</v>
      </c>
      <c r="FG106" s="28">
        <v>100.68599078324583</v>
      </c>
      <c r="FH106" s="29">
        <v>2.9058188632287298</v>
      </c>
      <c r="FI106" s="28">
        <v>100.71887771490556</v>
      </c>
      <c r="FJ106" s="29">
        <v>2.7928963157346192</v>
      </c>
      <c r="FK106" s="28">
        <v>100.75177538838017</v>
      </c>
      <c r="FL106" s="29">
        <v>2.6770454924467471</v>
      </c>
      <c r="FM106" s="28">
        <v>100.78468380717825</v>
      </c>
      <c r="FN106" s="29">
        <v>2.558042458998981</v>
      </c>
      <c r="FO106" s="28">
        <v>100.81760297480952</v>
      </c>
      <c r="FP106" s="29">
        <v>2.435633670182257</v>
      </c>
      <c r="FQ106" s="28">
        <v>100.85053289478486</v>
      </c>
      <c r="FR106" s="29">
        <v>2.3095304407872073</v>
      </c>
      <c r="FS106" s="28">
        <v>100.8834735706163</v>
      </c>
      <c r="FT106" s="29">
        <v>2.1794021451129084</v>
      </c>
      <c r="FU106" s="28">
        <v>100.91642500581702</v>
      </c>
      <c r="FV106" s="29">
        <v>2.0448678610276771</v>
      </c>
      <c r="FW106" s="28">
        <v>100.94938720390131</v>
      </c>
      <c r="FX106" s="29">
        <v>1.9054861895675967</v>
      </c>
      <c r="FY106" s="28">
        <v>100.98236016838466</v>
      </c>
      <c r="FZ106" s="29">
        <v>1.7607431489975738</v>
      </c>
      <c r="GA106" s="28">
        <v>101.01534390278367</v>
      </c>
      <c r="GB106" s="29">
        <v>1.6100386339468358</v>
      </c>
      <c r="GC106" s="28">
        <v>101.04833841061611</v>
      </c>
      <c r="GD106" s="29">
        <v>1.45267364918621</v>
      </c>
      <c r="GE106" s="28">
        <v>101.0813436954009</v>
      </c>
      <c r="GF106" s="29">
        <v>1.2878452089507972</v>
      </c>
      <c r="GG106" s="28">
        <v>101.11435976065809</v>
      </c>
      <c r="GH106" s="29">
        <v>1.1146682672271553</v>
      </c>
      <c r="GI106" s="28">
        <v>101.14738660990889</v>
      </c>
      <c r="GJ106" s="29">
        <v>0.93227716931882543</v>
      </c>
      <c r="GK106" s="28">
        <v>101.18042424667567</v>
      </c>
      <c r="GL106" s="29">
        <v>0.74014749815985748</v>
      </c>
      <c r="GM106" s="28">
        <v>101.21347267448195</v>
      </c>
      <c r="GN106" s="29">
        <v>0.53901699183401197</v>
      </c>
      <c r="GO106" s="28">
        <v>101.24653189685236</v>
      </c>
      <c r="GP106" s="29">
        <v>0.3334301590710893</v>
      </c>
      <c r="GQ106" s="28">
        <v>101.27960191731276</v>
      </c>
      <c r="GR106" s="29">
        <v>0.13870248439291247</v>
      </c>
      <c r="GS106" s="28">
        <v>101.31268273939008</v>
      </c>
      <c r="GT106" s="29">
        <v>0</v>
      </c>
    </row>
    <row r="107" spans="1:202" x14ac:dyDescent="0.25">
      <c r="E107" s="28">
        <v>93.914652146076378</v>
      </c>
      <c r="F107" s="29">
        <v>6.3406334011359649</v>
      </c>
      <c r="G107" s="28">
        <v>93.945327364375842</v>
      </c>
      <c r="H107" s="29">
        <v>6.2955737483255243</v>
      </c>
      <c r="I107" s="28">
        <v>93.976012602081212</v>
      </c>
      <c r="J107" s="29">
        <v>6.2502614154879206</v>
      </c>
      <c r="K107" s="28">
        <v>94.006707862465049</v>
      </c>
      <c r="L107" s="29">
        <v>6.204693087914614</v>
      </c>
      <c r="M107" s="28">
        <v>94.037413148801107</v>
      </c>
      <c r="N107" s="29">
        <v>6.1588653743582693</v>
      </c>
      <c r="O107" s="28">
        <v>94.068128464364136</v>
      </c>
      <c r="P107" s="29">
        <v>6.1127748055135909</v>
      </c>
      <c r="Q107" s="28">
        <v>94.098853812429937</v>
      </c>
      <c r="R107" s="29">
        <v>6.0664178316042472</v>
      </c>
      <c r="S107" s="28">
        <v>94.129589196275461</v>
      </c>
      <c r="T107" s="29">
        <v>6.0197908197728207</v>
      </c>
      <c r="U107" s="28">
        <v>94.160334619178627</v>
      </c>
      <c r="V107" s="29">
        <v>5.9728900513504648</v>
      </c>
      <c r="W107" s="28">
        <v>94.191090084418533</v>
      </c>
      <c r="X107" s="29">
        <v>5.9257117190107884</v>
      </c>
      <c r="Y107" s="28">
        <v>94.221855595275244</v>
      </c>
      <c r="Z107" s="29">
        <v>5.8782519238026039</v>
      </c>
      <c r="AA107" s="28">
        <v>94.252631155029988</v>
      </c>
      <c r="AB107" s="29">
        <v>5.8305066720562611</v>
      </c>
      <c r="AC107" s="28">
        <v>94.283416766965004</v>
      </c>
      <c r="AD107" s="29">
        <v>5.7824718721570578</v>
      </c>
      <c r="AE107" s="28">
        <v>94.314212434363611</v>
      </c>
      <c r="AF107" s="29">
        <v>5.7341433311788386</v>
      </c>
      <c r="AG107" s="28">
        <v>94.34501816051025</v>
      </c>
      <c r="AH107" s="29">
        <v>5.6855167513709741</v>
      </c>
      <c r="AI107" s="28">
        <v>94.375833948690342</v>
      </c>
      <c r="AJ107" s="29">
        <v>5.6365877264904602</v>
      </c>
      <c r="AK107" s="28">
        <v>94.406659802190489</v>
      </c>
      <c r="AL107" s="29">
        <v>5.5873517379717033</v>
      </c>
      <c r="AM107" s="28">
        <v>94.437495724298273</v>
      </c>
      <c r="AN107" s="29">
        <v>5.5378041509250098</v>
      </c>
      <c r="AO107" s="28">
        <v>94.468341718302412</v>
      </c>
      <c r="AP107" s="29">
        <v>5.487940209954929</v>
      </c>
      <c r="AQ107" s="28">
        <v>94.499197787492676</v>
      </c>
      <c r="AR107" s="29">
        <v>5.4377550347887302</v>
      </c>
      <c r="AS107" s="28">
        <v>94.530063935159916</v>
      </c>
      <c r="AT107" s="29">
        <v>5.3872436157049366</v>
      </c>
      <c r="AU107" s="28">
        <v>94.560940164596033</v>
      </c>
      <c r="AV107" s="29">
        <v>5.336400808751157</v>
      </c>
      <c r="AW107" s="28">
        <v>94.59182647909401</v>
      </c>
      <c r="AX107" s="29">
        <v>5.2852213307397431</v>
      </c>
      <c r="AY107" s="28">
        <v>94.622722881947951</v>
      </c>
      <c r="AZ107" s="29">
        <v>5.2336997540094012</v>
      </c>
      <c r="BA107" s="28">
        <v>94.653629376452997</v>
      </c>
      <c r="BB107" s="29">
        <v>5.1818305009397134</v>
      </c>
      <c r="BC107" s="28">
        <v>94.684545965905343</v>
      </c>
      <c r="BD107" s="29">
        <v>5.1296078382052439</v>
      </c>
      <c r="BE107" s="28">
        <v>94.715472653602319</v>
      </c>
      <c r="BF107" s="29">
        <v>5.077025870754964</v>
      </c>
      <c r="BG107" s="28">
        <v>94.746409442842292</v>
      </c>
      <c r="BH107" s="29">
        <v>5.0240785355016353</v>
      </c>
      <c r="BI107" s="28">
        <v>94.777356336924697</v>
      </c>
      <c r="BJ107" s="29">
        <v>4.9707595947053953</v>
      </c>
      <c r="BK107" s="28">
        <v>94.808313339150104</v>
      </c>
      <c r="BL107" s="29">
        <v>4.9170626290345876</v>
      </c>
      <c r="BM107" s="28">
        <v>94.839280452820077</v>
      </c>
      <c r="BN107" s="29">
        <v>4.8629810302858338</v>
      </c>
      <c r="BO107" s="28">
        <v>94.870257681237334</v>
      </c>
      <c r="BP107" s="29">
        <v>4.8085079937447723</v>
      </c>
      <c r="BQ107" s="28">
        <v>94.901245027705627</v>
      </c>
      <c r="BR107" s="29">
        <v>4.7536365101674862</v>
      </c>
      <c r="BS107" s="28">
        <v>94.93224249552982</v>
      </c>
      <c r="BT107" s="29">
        <v>4.6983593573617659</v>
      </c>
      <c r="BU107" s="28">
        <v>94.963250088015798</v>
      </c>
      <c r="BV107" s="29">
        <v>4.6426690913463036</v>
      </c>
      <c r="BW107" s="28">
        <v>94.99426780847061</v>
      </c>
      <c r="BX107" s="29">
        <v>4.5865580370651937</v>
      </c>
      <c r="BY107" s="28">
        <v>95.025295660202318</v>
      </c>
      <c r="BZ107" s="29">
        <v>4.5300182786329319</v>
      </c>
      <c r="CA107" s="28">
        <v>95.056333646520102</v>
      </c>
      <c r="CB107" s="29">
        <v>4.4730416490859541</v>
      </c>
      <c r="CC107" s="28">
        <v>95.087381770734211</v>
      </c>
      <c r="CD107" s="29">
        <v>4.4156197196138249</v>
      </c>
      <c r="CE107" s="28">
        <v>95.118440036155945</v>
      </c>
      <c r="CF107" s="29">
        <v>4.3577437882438064</v>
      </c>
      <c r="CG107" s="28">
        <v>95.149508446097741</v>
      </c>
      <c r="CH107" s="29">
        <v>4.2994048679509271</v>
      </c>
      <c r="CI107" s="28">
        <v>95.180587003873072</v>
      </c>
      <c r="CJ107" s="29">
        <v>4.2405936741655728</v>
      </c>
      <c r="CK107" s="28">
        <v>95.21167571279652</v>
      </c>
      <c r="CL107" s="29">
        <v>4.1813006116498048</v>
      </c>
      <c r="CM107" s="28">
        <v>95.242774576183749</v>
      </c>
      <c r="CN107" s="29">
        <v>4.1215157607142574</v>
      </c>
      <c r="CO107" s="28">
        <v>95.273883597351471</v>
      </c>
      <c r="CP107" s="29">
        <v>4.0612288627472521</v>
      </c>
      <c r="CQ107" s="28">
        <v>95.305002779617539</v>
      </c>
      <c r="CR107" s="29">
        <v>4.0004293050292867</v>
      </c>
      <c r="CS107" s="28">
        <v>95.336132126300839</v>
      </c>
      <c r="CT107" s="29">
        <v>3.9391061048072906</v>
      </c>
      <c r="CU107" s="28">
        <v>95.367271640721384</v>
      </c>
      <c r="CV107" s="29">
        <v>3.8772478926061376</v>
      </c>
      <c r="CW107" s="28">
        <v>95.398421326200221</v>
      </c>
      <c r="CX107" s="29">
        <v>3.8148428947586219</v>
      </c>
      <c r="CY107" s="28">
        <v>95.429581186059522</v>
      </c>
      <c r="CZ107" s="29">
        <v>3.7518789151404435</v>
      </c>
      <c r="DA107" s="28">
        <v>95.460751223622538</v>
      </c>
      <c r="DB107" s="29">
        <v>3.6883433161044525</v>
      </c>
      <c r="DC107" s="28">
        <v>95.491931442213584</v>
      </c>
      <c r="DD107" s="29">
        <v>3.6242229986179857</v>
      </c>
      <c r="DE107" s="28">
        <v>95.523121845158087</v>
      </c>
      <c r="DF107" s="29">
        <v>3.5595043816205227</v>
      </c>
      <c r="DG107" s="28">
        <v>95.554322435782552</v>
      </c>
      <c r="DH107" s="29">
        <v>3.494173380636302</v>
      </c>
      <c r="DI107" s="28">
        <v>95.58553321741455</v>
      </c>
      <c r="DJ107" s="29">
        <v>3.4282153856987221</v>
      </c>
      <c r="DK107" s="28">
        <v>95.616754193382761</v>
      </c>
      <c r="DL107" s="29">
        <v>3.3616152386725839</v>
      </c>
      <c r="DM107" s="28">
        <v>95.647985367016958</v>
      </c>
      <c r="DN107" s="29">
        <v>3.2943572100982137</v>
      </c>
      <c r="DO107" s="28">
        <v>95.679226741647994</v>
      </c>
      <c r="DP107" s="29">
        <v>3.2264249757293957</v>
      </c>
      <c r="DQ107" s="28">
        <v>95.710478320607791</v>
      </c>
      <c r="DR107" s="29">
        <v>3.157801593000372</v>
      </c>
      <c r="DS107" s="28">
        <v>95.741740107229376</v>
      </c>
      <c r="DT107" s="29">
        <v>3.08846947773662</v>
      </c>
      <c r="DU107" s="28">
        <v>95.773012104846885</v>
      </c>
      <c r="DV107" s="29">
        <v>3.0184103815280721</v>
      </c>
      <c r="DW107" s="28">
        <v>95.804294316795506</v>
      </c>
      <c r="DX107" s="29">
        <v>2.9476053703167846</v>
      </c>
      <c r="DY107" s="28">
        <v>95.835586746411536</v>
      </c>
      <c r="DZ107" s="29">
        <v>2.8760348049223747</v>
      </c>
      <c r="EA107" s="28">
        <v>95.866889397032367</v>
      </c>
      <c r="EB107" s="29">
        <v>2.8036783244510906</v>
      </c>
      <c r="EC107" s="28">
        <v>95.898202271996453</v>
      </c>
      <c r="ED107" s="29">
        <v>2.7305148338221437</v>
      </c>
      <c r="EE107" s="28">
        <v>95.929525374643376</v>
      </c>
      <c r="EF107" s="29">
        <v>2.656522497019179</v>
      </c>
      <c r="EG107" s="28">
        <v>95.960858708313765</v>
      </c>
      <c r="EH107" s="29">
        <v>2.5816787381629798</v>
      </c>
      <c r="EI107" s="28">
        <v>95.992202276349389</v>
      </c>
      <c r="EJ107" s="29">
        <v>2.5059602531402727</v>
      </c>
      <c r="EK107" s="28">
        <v>96.02355608209308</v>
      </c>
      <c r="EL107" s="29">
        <v>2.4293430353652576</v>
      </c>
      <c r="EM107" s="28">
        <v>96.054920128888782</v>
      </c>
      <c r="EN107" s="29">
        <v>2.3518024203616994</v>
      </c>
      <c r="EO107" s="28">
        <v>96.086294420081487</v>
      </c>
      <c r="EP107" s="29">
        <v>2.2733131553303165</v>
      </c>
      <c r="EQ107" s="28">
        <v>96.117678959017326</v>
      </c>
      <c r="ER107" s="29">
        <v>2.193849501842323</v>
      </c>
      <c r="ES107" s="28">
        <v>96.149073749043481</v>
      </c>
      <c r="ET107" s="29">
        <v>2.1133853824565541</v>
      </c>
      <c r="EU107" s="28">
        <v>96.180478793508314</v>
      </c>
      <c r="EV107" s="29">
        <v>2.0318945856582964</v>
      </c>
      <c r="EW107" s="28">
        <v>96.211894095761139</v>
      </c>
      <c r="EX107" s="29">
        <v>1.9493510484326448</v>
      </c>
      <c r="EY107" s="28">
        <v>96.243319659152505</v>
      </c>
      <c r="EZ107" s="29">
        <v>1.8657292425493734</v>
      </c>
      <c r="FA107" s="28">
        <v>96.274755487033957</v>
      </c>
      <c r="FB107" s="29">
        <v>1.7810047000251314</v>
      </c>
      <c r="FC107" s="28">
        <v>96.306201582758192</v>
      </c>
      <c r="FD107" s="29">
        <v>1.6951547263908826</v>
      </c>
      <c r="FE107" s="28">
        <v>96.33765794967897</v>
      </c>
      <c r="FF107" s="29">
        <v>1.6081593690214322</v>
      </c>
      <c r="FG107" s="28">
        <v>96.369124591151177</v>
      </c>
      <c r="FH107" s="29">
        <v>1.5200027344519069</v>
      </c>
      <c r="FI107" s="28">
        <v>96.400601510530763</v>
      </c>
      <c r="FJ107" s="29">
        <v>1.4306747872166554</v>
      </c>
      <c r="FK107" s="28">
        <v>96.432088711174771</v>
      </c>
      <c r="FL107" s="29">
        <v>1.3401738193517443</v>
      </c>
      <c r="FM107" s="28">
        <v>96.463586196441398</v>
      </c>
      <c r="FN107" s="29">
        <v>1.2485098637714545</v>
      </c>
      <c r="FO107" s="28">
        <v>96.495093969689847</v>
      </c>
      <c r="FP107" s="29">
        <v>1.1557094513020676</v>
      </c>
      <c r="FQ107" s="28">
        <v>96.526612034280504</v>
      </c>
      <c r="FR107" s="29">
        <v>1.061822304363937</v>
      </c>
      <c r="FS107" s="28">
        <v>96.558140393574803</v>
      </c>
      <c r="FT107" s="29">
        <v>0.96693085926778743</v>
      </c>
      <c r="FU107" s="28">
        <v>96.589679050935302</v>
      </c>
      <c r="FV107" s="29">
        <v>0.87116397756791375</v>
      </c>
      <c r="FW107" s="28">
        <v>96.621228009725627</v>
      </c>
      <c r="FX107" s="29">
        <v>0.77471694843784011</v>
      </c>
      <c r="FY107" s="28">
        <v>96.652787273310523</v>
      </c>
      <c r="FZ107" s="29">
        <v>0.6778810638952798</v>
      </c>
      <c r="GA107" s="28">
        <v>96.684356845055831</v>
      </c>
      <c r="GB107" s="29">
        <v>0.58108791865870912</v>
      </c>
      <c r="GC107" s="28">
        <v>96.715936728328515</v>
      </c>
      <c r="GD107" s="29">
        <v>0.48497648685392675</v>
      </c>
      <c r="GE107" s="28">
        <v>96.74752692649659</v>
      </c>
      <c r="GF107" s="29">
        <v>0.39049526824960545</v>
      </c>
      <c r="GG107" s="28">
        <v>96.779127442929195</v>
      </c>
      <c r="GH107" s="29">
        <v>0.29905707883619531</v>
      </c>
      <c r="GI107" s="28">
        <v>96.810738280996588</v>
      </c>
      <c r="GJ107" s="29">
        <v>0.21276737591506401</v>
      </c>
      <c r="GK107" s="28">
        <v>96.842359444070098</v>
      </c>
      <c r="GL107" s="29">
        <v>0.13473573161385566</v>
      </c>
      <c r="GM107" s="28">
        <v>96.873990935522173</v>
      </c>
      <c r="GN107" s="29">
        <v>6.9410373305088868E-2</v>
      </c>
      <c r="GO107" s="28">
        <v>96.905632758726355</v>
      </c>
      <c r="GP107" s="29">
        <v>2.2606892091688556E-2</v>
      </c>
      <c r="GQ107" s="28">
        <v>96.937284917057312</v>
      </c>
      <c r="GR107" s="29">
        <v>0</v>
      </c>
      <c r="GS107" s="28">
        <v>96.96894741389076</v>
      </c>
      <c r="GT107" s="29">
        <v>0</v>
      </c>
    </row>
    <row r="108" spans="1:202" x14ac:dyDescent="0.25">
      <c r="G108" s="28">
        <v>89.917464059364576</v>
      </c>
      <c r="H108" s="29">
        <v>4.7286600916842971</v>
      </c>
      <c r="I108" s="28">
        <v>89.946833681419577</v>
      </c>
      <c r="J108" s="29">
        <v>4.6870851065453936</v>
      </c>
      <c r="K108" s="28">
        <v>89.976212896435257</v>
      </c>
      <c r="L108" s="29">
        <v>4.6453097082565433</v>
      </c>
      <c r="M108" s="28">
        <v>90.005601707545011</v>
      </c>
      <c r="N108" s="29">
        <v>4.6033318341797616</v>
      </c>
      <c r="O108" s="28">
        <v>90.035000117883172</v>
      </c>
      <c r="P108" s="29">
        <v>4.5611493838093793</v>
      </c>
      <c r="Q108" s="28">
        <v>90.064408130585093</v>
      </c>
      <c r="R108" s="29">
        <v>4.5187602231834312</v>
      </c>
      <c r="S108" s="28">
        <v>90.093825748787239</v>
      </c>
      <c r="T108" s="29">
        <v>4.4761621850045223</v>
      </c>
      <c r="U108" s="28">
        <v>90.123252975626983</v>
      </c>
      <c r="V108" s="29">
        <v>4.4333530682695157</v>
      </c>
      <c r="W108" s="28">
        <v>90.152689814242834</v>
      </c>
      <c r="X108" s="29">
        <v>4.3903306378584563</v>
      </c>
      <c r="Y108" s="28">
        <v>90.182136267774226</v>
      </c>
      <c r="Z108" s="29">
        <v>4.3470926241348362</v>
      </c>
      <c r="AA108" s="28">
        <v>90.211592339361701</v>
      </c>
      <c r="AB108" s="29">
        <v>4.3036367225665977</v>
      </c>
      <c r="AC108" s="28">
        <v>90.241058032146782</v>
      </c>
      <c r="AD108" s="29">
        <v>4.2599605933730471</v>
      </c>
      <c r="AE108" s="28">
        <v>90.270533349272</v>
      </c>
      <c r="AF108" s="29">
        <v>4.216061861202471</v>
      </c>
      <c r="AG108" s="28">
        <v>90.30001829388101</v>
      </c>
      <c r="AH108" s="29">
        <v>4.1719381148459043</v>
      </c>
      <c r="AI108" s="28">
        <v>90.329512869118332</v>
      </c>
      <c r="AJ108" s="29">
        <v>4.127586906991918</v>
      </c>
      <c r="AK108" s="28">
        <v>90.359017078129696</v>
      </c>
      <c r="AL108" s="29">
        <v>4.0830057540294797</v>
      </c>
      <c r="AM108" s="28">
        <v>90.388530924061698</v>
      </c>
      <c r="AN108" s="29">
        <v>4.0381921359047181</v>
      </c>
      <c r="AO108" s="28">
        <v>90.418054410062069</v>
      </c>
      <c r="AP108" s="29">
        <v>3.9931434960401995</v>
      </c>
      <c r="AQ108" s="28">
        <v>90.447587539279539</v>
      </c>
      <c r="AR108" s="29">
        <v>3.9478572413246242</v>
      </c>
      <c r="AS108" s="28">
        <v>90.477130314863842</v>
      </c>
      <c r="AT108" s="29">
        <v>3.902330742182829</v>
      </c>
      <c r="AU108" s="28">
        <v>90.506682739965754</v>
      </c>
      <c r="AV108" s="29">
        <v>3.8565613327368919</v>
      </c>
      <c r="AW108" s="28">
        <v>90.536244817737085</v>
      </c>
      <c r="AX108" s="29">
        <v>3.8105463110701363</v>
      </c>
      <c r="AY108" s="28">
        <v>90.565816551330684</v>
      </c>
      <c r="AZ108" s="29">
        <v>3.7642829396077881</v>
      </c>
      <c r="BA108" s="28">
        <v>90.595397943900423</v>
      </c>
      <c r="BB108" s="29">
        <v>3.7177684456290345</v>
      </c>
      <c r="BC108" s="28">
        <v>90.624988998601182</v>
      </c>
      <c r="BD108" s="29">
        <v>3.6710000219278647</v>
      </c>
      <c r="BE108" s="28">
        <v>90.654589718588895</v>
      </c>
      <c r="BF108" s="29">
        <v>3.6239748276412569</v>
      </c>
      <c r="BG108" s="28">
        <v>90.684200107020544</v>
      </c>
      <c r="BH108" s="29">
        <v>3.5766899892663853</v>
      </c>
      <c r="BI108" s="28">
        <v>90.713820167054095</v>
      </c>
      <c r="BJ108" s="29">
        <v>3.5291426018904328</v>
      </c>
      <c r="BK108" s="28">
        <v>90.743449901848592</v>
      </c>
      <c r="BL108" s="29">
        <v>3.4813297306604243</v>
      </c>
      <c r="BM108" s="28">
        <v>90.773089314564047</v>
      </c>
      <c r="BN108" s="29">
        <v>3.4332484125229845</v>
      </c>
      <c r="BO108" s="28">
        <v>90.802738408361591</v>
      </c>
      <c r="BP108" s="29">
        <v>3.3848956582683036</v>
      </c>
      <c r="BQ108" s="28">
        <v>90.832397186403327</v>
      </c>
      <c r="BR108" s="29">
        <v>3.3362684549168193</v>
      </c>
      <c r="BS108" s="28">
        <v>90.862065651852419</v>
      </c>
      <c r="BT108" s="29">
        <v>3.2873637684919395</v>
      </c>
      <c r="BU108" s="28">
        <v>90.891743807872999</v>
      </c>
      <c r="BV108" s="29">
        <v>3.2381785472277329</v>
      </c>
      <c r="BW108" s="28">
        <v>90.921431657630364</v>
      </c>
      <c r="BX108" s="29">
        <v>3.1887097252671421</v>
      </c>
      <c r="BY108" s="28">
        <v>90.951129204290709</v>
      </c>
      <c r="BZ108" s="29">
        <v>3.1389542269133304</v>
      </c>
      <c r="CA108" s="28">
        <v>90.980836451021347</v>
      </c>
      <c r="CB108" s="29">
        <v>3.0889089715049773</v>
      </c>
      <c r="CC108" s="28">
        <v>91.010553400990602</v>
      </c>
      <c r="CD108" s="29">
        <v>3.0385708789962242</v>
      </c>
      <c r="CE108" s="28">
        <v>91.040280057367809</v>
      </c>
      <c r="CF108" s="29">
        <v>2.9879368763327028</v>
      </c>
      <c r="CG108" s="28">
        <v>91.070016423323381</v>
      </c>
      <c r="CH108" s="29">
        <v>2.9370039047274381</v>
      </c>
      <c r="CI108" s="28">
        <v>91.099762502028724</v>
      </c>
      <c r="CJ108" s="29">
        <v>2.885768927955136</v>
      </c>
      <c r="CK108" s="28">
        <v>91.129518296656315</v>
      </c>
      <c r="CL108" s="29">
        <v>2.8342289417996085</v>
      </c>
      <c r="CM108" s="28">
        <v>91.159283810379662</v>
      </c>
      <c r="CN108" s="29">
        <v>2.7823809848086345</v>
      </c>
      <c r="CO108" s="28">
        <v>91.189059046373274</v>
      </c>
      <c r="CP108" s="29">
        <v>2.7302221505322684</v>
      </c>
      <c r="CQ108" s="28">
        <v>91.218844007812734</v>
      </c>
      <c r="CR108" s="29">
        <v>2.6777496014463362</v>
      </c>
      <c r="CS108" s="28">
        <v>91.248638697874654</v>
      </c>
      <c r="CT108" s="29">
        <v>2.62496058479269</v>
      </c>
      <c r="CU108" s="28">
        <v>91.278443119736693</v>
      </c>
      <c r="CV108" s="29">
        <v>2.5718524506022615</v>
      </c>
      <c r="CW108" s="28">
        <v>91.308257276577521</v>
      </c>
      <c r="CX108" s="29">
        <v>2.5184226722068637</v>
      </c>
      <c r="CY108" s="28">
        <v>91.338081171576846</v>
      </c>
      <c r="CZ108" s="29">
        <v>2.464668869593277</v>
      </c>
      <c r="DA108" s="28">
        <v>91.367914807915469</v>
      </c>
      <c r="DB108" s="29">
        <v>2.4105888360072623</v>
      </c>
      <c r="DC108" s="28">
        <v>91.397758188775171</v>
      </c>
      <c r="DD108" s="29">
        <v>2.3561805682804122</v>
      </c>
      <c r="DE108" s="28">
        <v>91.427611317338773</v>
      </c>
      <c r="DF108" s="29">
        <v>2.3014423014274525</v>
      </c>
      <c r="DG108" s="28">
        <v>91.457474196790201</v>
      </c>
      <c r="DH108" s="29">
        <v>2.2463725481517947</v>
      </c>
      <c r="DI108" s="28">
        <v>91.487346830314323</v>
      </c>
      <c r="DJ108" s="29">
        <v>2.190970144001771</v>
      </c>
      <c r="DK108" s="28">
        <v>91.517229221097111</v>
      </c>
      <c r="DL108" s="29">
        <v>2.135234299044741</v>
      </c>
      <c r="DM108" s="28">
        <v>91.547121372325591</v>
      </c>
      <c r="DN108" s="29">
        <v>2.0791646570746454</v>
      </c>
      <c r="DO108" s="28">
        <v>91.577023287187799</v>
      </c>
      <c r="DP108" s="29">
        <v>2.022761363544876</v>
      </c>
      <c r="DQ108" s="28">
        <v>91.606934968872793</v>
      </c>
      <c r="DR108" s="29">
        <v>1.9660251436285716</v>
      </c>
      <c r="DS108" s="28">
        <v>91.636856420570709</v>
      </c>
      <c r="DT108" s="29">
        <v>1.9089573920606824</v>
      </c>
      <c r="DU108" s="28">
        <v>91.666787645472724</v>
      </c>
      <c r="DV108" s="29">
        <v>1.8515602767194053</v>
      </c>
      <c r="DW108" s="28">
        <v>91.696728646771035</v>
      </c>
      <c r="DX108" s="29">
        <v>1.793836858268967</v>
      </c>
      <c r="DY108" s="28">
        <v>91.726679427658908</v>
      </c>
      <c r="DZ108" s="29">
        <v>1.7357912286273969</v>
      </c>
      <c r="EA108" s="28">
        <v>91.75663999133063</v>
      </c>
      <c r="EB108" s="29">
        <v>1.6774286715576057</v>
      </c>
      <c r="EC108" s="28">
        <v>91.786610340981539</v>
      </c>
      <c r="ED108" s="29">
        <v>1.618755849331724</v>
      </c>
      <c r="EE108" s="28">
        <v>91.816590479808013</v>
      </c>
      <c r="EF108" s="29">
        <v>1.5597810202131894</v>
      </c>
      <c r="EG108" s="28">
        <v>91.846580411007452</v>
      </c>
      <c r="EH108" s="29">
        <v>1.5005142924763812</v>
      </c>
      <c r="EI108" s="28">
        <v>91.876580137778376</v>
      </c>
      <c r="EJ108" s="29">
        <v>1.4409679218811855</v>
      </c>
      <c r="EK108" s="28">
        <v>91.906589663320261</v>
      </c>
      <c r="EL108" s="29">
        <v>1.3811566609997024</v>
      </c>
      <c r="EM108" s="28">
        <v>91.936608990833705</v>
      </c>
      <c r="EN108" s="29">
        <v>1.321098170624019</v>
      </c>
      <c r="EO108" s="28">
        <v>91.966638123520269</v>
      </c>
      <c r="EP108" s="29">
        <v>1.2608135057625325</v>
      </c>
      <c r="EQ108" s="28">
        <v>91.996677064582641</v>
      </c>
      <c r="ER108" s="29">
        <v>1.2003276915720689</v>
      </c>
      <c r="ES108" s="28">
        <v>92.026725817224474</v>
      </c>
      <c r="ET108" s="29">
        <v>1.1396704081299736</v>
      </c>
      <c r="EU108" s="28">
        <v>92.05678438465057</v>
      </c>
      <c r="EV108" s="29">
        <v>1.0788768074118074</v>
      </c>
      <c r="EW108" s="28">
        <v>92.086852770066656</v>
      </c>
      <c r="EX108" s="29">
        <v>1.0179884914558766</v>
      </c>
      <c r="EY108" s="28">
        <v>92.116930976679626</v>
      </c>
      <c r="EZ108" s="29">
        <v>0.95705468777266711</v>
      </c>
      <c r="FA108" s="28">
        <v>92.147019007697324</v>
      </c>
      <c r="FB108" s="29">
        <v>0.89613366698474572</v>
      </c>
      <c r="FC108" s="28">
        <v>92.177116866328703</v>
      </c>
      <c r="FD108" s="29">
        <v>0.83529445893211884</v>
      </c>
      <c r="FE108" s="28">
        <v>92.207224555783725</v>
      </c>
      <c r="FF108" s="29">
        <v>0.77461893760819278</v>
      </c>
      <c r="FG108" s="28">
        <v>92.237342079273446</v>
      </c>
      <c r="FH108" s="29">
        <v>0.71420436291271294</v>
      </c>
      <c r="FI108" s="28">
        <v>92.267469440009918</v>
      </c>
      <c r="FJ108" s="29">
        <v>0.65416648889277362</v>
      </c>
      <c r="FK108" s="28">
        <v>92.297606641206272</v>
      </c>
      <c r="FL108" s="29">
        <v>0.59464337419589797</v>
      </c>
      <c r="FM108" s="28">
        <v>92.327753686076719</v>
      </c>
      <c r="FN108" s="29">
        <v>0.53580006041705475</v>
      </c>
      <c r="FO108" s="28">
        <v>92.357910577836435</v>
      </c>
      <c r="FP108" s="29">
        <v>0.47783431557342415</v>
      </c>
      <c r="FQ108" s="28">
        <v>92.388077319701722</v>
      </c>
      <c r="FR108" s="29">
        <v>0.42098366672636672</v>
      </c>
      <c r="FS108" s="28">
        <v>92.418253914889902</v>
      </c>
      <c r="FT108" s="29">
        <v>0.36553395286728896</v>
      </c>
      <c r="FU108" s="28">
        <v>92.448440366619366</v>
      </c>
      <c r="FV108" s="29">
        <v>0.31182958410287109</v>
      </c>
      <c r="FW108" s="28">
        <v>92.478636678109524</v>
      </c>
      <c r="FX108" s="29">
        <v>0.26028552797616572</v>
      </c>
      <c r="FY108" s="28">
        <v>92.508842852580855</v>
      </c>
      <c r="FZ108" s="29">
        <v>0.21140062034195972</v>
      </c>
      <c r="GA108" s="28">
        <v>92.539058893254904</v>
      </c>
      <c r="GB108" s="29">
        <v>0.16577084273981757</v>
      </c>
      <c r="GC108" s="28">
        <v>92.56928480335425</v>
      </c>
      <c r="GD108" s="29">
        <v>0.12409919368510861</v>
      </c>
      <c r="GE108" s="28">
        <v>92.599520586102543</v>
      </c>
      <c r="GF108" s="29">
        <v>8.7194738819406897E-2</v>
      </c>
      <c r="GG108" s="28">
        <v>92.629766244724451</v>
      </c>
      <c r="GH108" s="29">
        <v>5.5945716027413765E-2</v>
      </c>
      <c r="GI108" s="28">
        <v>92.660021782445739</v>
      </c>
      <c r="GJ108" s="29">
        <v>3.1237911516164247E-2</v>
      </c>
      <c r="GK108" s="28">
        <v>92.690287202493181</v>
      </c>
      <c r="GL108" s="29">
        <v>1.3768525484491109E-2</v>
      </c>
      <c r="GM108" s="28">
        <v>92.720562508094645</v>
      </c>
      <c r="GN108" s="29">
        <v>3.6846605328096716E-3</v>
      </c>
      <c r="GO108" s="28">
        <v>92.750847702479035</v>
      </c>
      <c r="GP108" s="29">
        <v>0</v>
      </c>
      <c r="GQ108" s="28">
        <v>92.781142788876309</v>
      </c>
      <c r="GR108" s="29">
        <v>0</v>
      </c>
      <c r="GS108" s="28">
        <v>92.811447770517489</v>
      </c>
      <c r="GT108" s="29">
        <v>0</v>
      </c>
    </row>
    <row r="109" spans="1:202" x14ac:dyDescent="0.25">
      <c r="I109" s="28">
        <v>86.090403979683032</v>
      </c>
      <c r="J109" s="29">
        <v>3.444059577836569</v>
      </c>
      <c r="K109" s="28">
        <v>86.118523574178866</v>
      </c>
      <c r="L109" s="29">
        <v>3.4070112833550352</v>
      </c>
      <c r="M109" s="28">
        <v>86.146652353340599</v>
      </c>
      <c r="N109" s="29">
        <v>3.3698267075852044</v>
      </c>
      <c r="O109" s="28">
        <v>86.174790320168171</v>
      </c>
      <c r="P109" s="29">
        <v>3.3325052784787799</v>
      </c>
      <c r="Q109" s="28">
        <v>86.202937477662516</v>
      </c>
      <c r="R109" s="29">
        <v>3.2950464095613539</v>
      </c>
      <c r="S109" s="28">
        <v>86.231093828825607</v>
      </c>
      <c r="T109" s="29">
        <v>3.2574495278622004</v>
      </c>
      <c r="U109" s="28">
        <v>86.259259376660324</v>
      </c>
      <c r="V109" s="29">
        <v>3.2197140786862199</v>
      </c>
      <c r="W109" s="28">
        <v>86.287434124170602</v>
      </c>
      <c r="X109" s="29">
        <v>3.1818395277728233</v>
      </c>
      <c r="Y109" s="28">
        <v>86.315618074361282</v>
      </c>
      <c r="Z109" s="29">
        <v>3.1438253632853281</v>
      </c>
      <c r="AA109" s="28">
        <v>86.343811230238259</v>
      </c>
      <c r="AB109" s="29">
        <v>3.1056710979084765</v>
      </c>
      <c r="AC109" s="28">
        <v>86.372013594808351</v>
      </c>
      <c r="AD109" s="29">
        <v>3.067376271092713</v>
      </c>
      <c r="AE109" s="28">
        <v>86.400225171079356</v>
      </c>
      <c r="AF109" s="29">
        <v>3.0289404514637681</v>
      </c>
      <c r="AG109" s="28">
        <v>86.428445962060167</v>
      </c>
      <c r="AH109" s="29">
        <v>2.9903632394133814</v>
      </c>
      <c r="AI109" s="28">
        <v>86.456675970760458</v>
      </c>
      <c r="AJ109" s="29">
        <v>2.9516442698865508</v>
      </c>
      <c r="AK109" s="28">
        <v>86.484915200191097</v>
      </c>
      <c r="AL109" s="29">
        <v>2.9127832153816589</v>
      </c>
      <c r="AM109" s="28">
        <v>86.513163653363776</v>
      </c>
      <c r="AN109" s="29">
        <v>2.873779789180634</v>
      </c>
      <c r="AO109" s="28">
        <v>86.541421333291254</v>
      </c>
      <c r="AP109" s="29">
        <v>2.8346337488282396</v>
      </c>
      <c r="AQ109" s="28">
        <v>86.569688242987283</v>
      </c>
      <c r="AR109" s="29">
        <v>2.7953448998812056</v>
      </c>
      <c r="AS109" s="28">
        <v>86.59796438546654</v>
      </c>
      <c r="AT109" s="29">
        <v>2.7559130999494568</v>
      </c>
      <c r="AU109" s="28">
        <v>86.62624976374471</v>
      </c>
      <c r="AV109" s="29">
        <v>2.71633826305436</v>
      </c>
      <c r="AW109" s="28">
        <v>86.654544380838487</v>
      </c>
      <c r="AX109" s="29">
        <v>2.6766203643307542</v>
      </c>
      <c r="AY109" s="28">
        <v>86.682848239765519</v>
      </c>
      <c r="AZ109" s="29">
        <v>2.6367594451022152</v>
      </c>
      <c r="BA109" s="28">
        <v>86.711161343544475</v>
      </c>
      <c r="BB109" s="29">
        <v>2.5967556183618479</v>
      </c>
      <c r="BC109" s="28">
        <v>86.739483695194963</v>
      </c>
      <c r="BD109" s="29">
        <v>2.5566090746938404</v>
      </c>
      <c r="BE109" s="28">
        <v>86.767815297737613</v>
      </c>
      <c r="BF109" s="29">
        <v>2.5163200886748345</v>
      </c>
      <c r="BG109" s="28">
        <v>86.796156154194051</v>
      </c>
      <c r="BH109" s="29">
        <v>2.4758890257973638</v>
      </c>
      <c r="BI109" s="28">
        <v>86.824506267586841</v>
      </c>
      <c r="BJ109" s="29">
        <v>2.4353163499623376</v>
      </c>
      <c r="BK109" s="28">
        <v>86.852865640939598</v>
      </c>
      <c r="BL109" s="29">
        <v>2.3946026315920395</v>
      </c>
      <c r="BM109" s="28">
        <v>86.881234277276832</v>
      </c>
      <c r="BN109" s="29">
        <v>2.3537485564201521</v>
      </c>
      <c r="BO109" s="28">
        <v>86.909612179624148</v>
      </c>
      <c r="BP109" s="29">
        <v>2.3127549350215122</v>
      </c>
      <c r="BQ109" s="28">
        <v>86.937999351008088</v>
      </c>
      <c r="BR109" s="29">
        <v>2.2716227131501547</v>
      </c>
      <c r="BS109" s="28">
        <v>86.966395794456176</v>
      </c>
      <c r="BT109" s="29">
        <v>2.2303529829618234</v>
      </c>
      <c r="BU109" s="28">
        <v>86.994801512996901</v>
      </c>
      <c r="BV109" s="29">
        <v>2.1889469952051432</v>
      </c>
      <c r="BW109" s="28">
        <v>87.023216509659846</v>
      </c>
      <c r="BX109" s="29">
        <v>2.1474061724740947</v>
      </c>
      <c r="BY109" s="28">
        <v>87.051640787475449</v>
      </c>
      <c r="BZ109" s="29">
        <v>2.1057321236249567</v>
      </c>
      <c r="CA109" s="28">
        <v>87.080074349475225</v>
      </c>
      <c r="CB109" s="29">
        <v>2.0639266594718779</v>
      </c>
      <c r="CC109" s="28">
        <v>87.108517198691672</v>
      </c>
      <c r="CD109" s="29">
        <v>2.0219918098875138</v>
      </c>
      <c r="CE109" s="28">
        <v>87.136969338158238</v>
      </c>
      <c r="CF109" s="29">
        <v>1.9799298424497365</v>
      </c>
      <c r="CG109" s="28">
        <v>87.165430770909381</v>
      </c>
      <c r="CH109" s="29">
        <v>1.9377432827907484</v>
      </c>
      <c r="CI109" s="28">
        <v>87.193901499980569</v>
      </c>
      <c r="CJ109" s="29">
        <v>1.8954349368227783</v>
      </c>
      <c r="CK109" s="28">
        <v>87.222381528408235</v>
      </c>
      <c r="CL109" s="29">
        <v>1.8530079150348184</v>
      </c>
      <c r="CM109" s="28">
        <v>87.250870859229849</v>
      </c>
      <c r="CN109" s="29">
        <v>1.8104656590770203</v>
      </c>
      <c r="CO109" s="28">
        <v>87.279369495483778</v>
      </c>
      <c r="CP109" s="29">
        <v>1.7678119708748186</v>
      </c>
      <c r="CQ109" s="28">
        <v>87.307877440209495</v>
      </c>
      <c r="CR109" s="29">
        <v>1.7250510445439913</v>
      </c>
      <c r="CS109" s="28">
        <v>87.336394696447385</v>
      </c>
      <c r="CT109" s="29">
        <v>1.6821875014095138</v>
      </c>
      <c r="CU109" s="28">
        <v>87.364921267238884</v>
      </c>
      <c r="CV109" s="29">
        <v>1.6392264284686533</v>
      </c>
      <c r="CW109" s="28">
        <v>87.393457155626365</v>
      </c>
      <c r="CX109" s="29">
        <v>1.5961734206798472</v>
      </c>
      <c r="CY109" s="28">
        <v>87.42200236465321</v>
      </c>
      <c r="CZ109" s="29">
        <v>1.5530346275063835</v>
      </c>
      <c r="DA109" s="28">
        <v>87.450556897363853</v>
      </c>
      <c r="DB109" s="29">
        <v>1.5098168041974451</v>
      </c>
      <c r="DC109" s="28">
        <v>87.479120756803667</v>
      </c>
      <c r="DD109" s="29">
        <v>1.4665273683500577</v>
      </c>
      <c r="DE109" s="28">
        <v>87.507693946018975</v>
      </c>
      <c r="DF109" s="29">
        <v>1.4231744623648921</v>
      </c>
      <c r="DG109" s="28">
        <v>87.536276468057224</v>
      </c>
      <c r="DH109" s="29">
        <v>1.3797670224880634</v>
      </c>
      <c r="DI109" s="28">
        <v>87.564868325966728</v>
      </c>
      <c r="DJ109" s="29">
        <v>1.3363148552202728</v>
      </c>
      <c r="DK109" s="28">
        <v>87.593469522796852</v>
      </c>
      <c r="DL109" s="29">
        <v>1.292828721978114</v>
      </c>
      <c r="DM109" s="28">
        <v>87.622080061597998</v>
      </c>
      <c r="DN109" s="29">
        <v>1.2493204330085179</v>
      </c>
      <c r="DO109" s="28">
        <v>87.650699945421493</v>
      </c>
      <c r="DP109" s="29">
        <v>1.2058029516905771</v>
      </c>
      <c r="DQ109" s="28">
        <v>87.679329177319673</v>
      </c>
      <c r="DR109" s="29">
        <v>1.1622905105110517</v>
      </c>
      <c r="DS109" s="28">
        <v>87.707967760345909</v>
      </c>
      <c r="DT109" s="29">
        <v>1.1187987401722166</v>
      </c>
      <c r="DU109" s="28">
        <v>87.736615697554541</v>
      </c>
      <c r="DV109" s="29">
        <v>1.0753448134872801</v>
      </c>
      <c r="DW109" s="28">
        <v>87.765272992000931</v>
      </c>
      <c r="DX109" s="29">
        <v>1.031947605941673</v>
      </c>
      <c r="DY109" s="28">
        <v>87.793939646741393</v>
      </c>
      <c r="DZ109" s="29">
        <v>0.98862787505032179</v>
      </c>
      <c r="EA109" s="28">
        <v>87.822615664833293</v>
      </c>
      <c r="EB109" s="29">
        <v>0.94540846092569353</v>
      </c>
      <c r="EC109" s="28">
        <v>87.851301049334964</v>
      </c>
      <c r="ED109" s="29">
        <v>0.902314510789335</v>
      </c>
      <c r="EE109" s="28">
        <v>87.879995803305732</v>
      </c>
      <c r="EF109" s="29">
        <v>0.85937373051402555</v>
      </c>
      <c r="EG109" s="28">
        <v>87.90869992980592</v>
      </c>
      <c r="EH109" s="29">
        <v>0.81661666667232546</v>
      </c>
      <c r="EI109" s="28">
        <v>87.9374134318969</v>
      </c>
      <c r="EJ109" s="29">
        <v>0.77407702298803949</v>
      </c>
      <c r="EK109" s="28">
        <v>87.966136312640998</v>
      </c>
      <c r="EL109" s="29">
        <v>0.73179201553157125</v>
      </c>
      <c r="EM109" s="28">
        <v>87.994868575101549</v>
      </c>
      <c r="EN109" s="29">
        <v>0.68980277145202196</v>
      </c>
      <c r="EO109" s="28">
        <v>88.023610222342882</v>
      </c>
      <c r="EP109" s="29">
        <v>0.64815477647129538</v>
      </c>
      <c r="EQ109" s="28">
        <v>88.052361257430348</v>
      </c>
      <c r="ER109" s="29">
        <v>0.60689837673244007</v>
      </c>
      <c r="ES109" s="28">
        <v>88.081121683430268</v>
      </c>
      <c r="ET109" s="29">
        <v>0.56608934082109463</v>
      </c>
      <c r="EU109" s="28">
        <v>88.109891503410012</v>
      </c>
      <c r="EV109" s="29">
        <v>0.52578948774881884</v>
      </c>
      <c r="EW109" s="28">
        <v>88.138670720437887</v>
      </c>
      <c r="EX109" s="29">
        <v>0.48606738621555973</v>
      </c>
      <c r="EY109" s="28">
        <v>88.167459337583281</v>
      </c>
      <c r="EZ109" s="29">
        <v>0.44699912927156865</v>
      </c>
      <c r="FA109" s="28">
        <v>88.196257357916508</v>
      </c>
      <c r="FB109" s="29">
        <v>0.40866918613885794</v>
      </c>
      <c r="FC109" s="28">
        <v>88.225064784508945</v>
      </c>
      <c r="FD109" s="29">
        <v>0.37117132875392522</v>
      </c>
      <c r="FE109" s="28">
        <v>88.253881620432907</v>
      </c>
      <c r="FF109" s="29">
        <v>0.33460962352974832</v>
      </c>
      <c r="FG109" s="28">
        <v>88.28270786876179</v>
      </c>
      <c r="FH109" s="29">
        <v>0.2990994673304847</v>
      </c>
      <c r="FI109" s="28">
        <v>88.311543532569942</v>
      </c>
      <c r="FJ109" s="29">
        <v>0.26476862831648929</v>
      </c>
      <c r="FK109" s="28">
        <v>88.340388614932706</v>
      </c>
      <c r="FL109" s="29">
        <v>0.23175822352295936</v>
      </c>
      <c r="FM109" s="28">
        <v>88.369243118926505</v>
      </c>
      <c r="FN109" s="29">
        <v>0.20022352033299534</v>
      </c>
      <c r="FO109" s="28">
        <v>88.39810704762867</v>
      </c>
      <c r="FP109" s="29">
        <v>0.17033438030452083</v>
      </c>
      <c r="FQ109" s="28">
        <v>88.4269804041176</v>
      </c>
      <c r="FR109" s="29">
        <v>0.14227505935746118</v>
      </c>
      <c r="FS109" s="28">
        <v>88.455863191472659</v>
      </c>
      <c r="FT109" s="29">
        <v>0.11624292168218418</v>
      </c>
      <c r="FU109" s="28">
        <v>88.484755412774263</v>
      </c>
      <c r="FV109" s="29">
        <v>9.2445394445251031E-2</v>
      </c>
      <c r="FW109" s="28">
        <v>88.513657071103808</v>
      </c>
      <c r="FX109" s="29">
        <v>7.1094162370450256E-2</v>
      </c>
      <c r="FY109" s="28">
        <v>88.542568169543671</v>
      </c>
      <c r="FZ109" s="29">
        <v>5.2395158860840153E-2</v>
      </c>
      <c r="GA109" s="28">
        <v>88.571488711177281</v>
      </c>
      <c r="GB109" s="29">
        <v>3.6532373160942849E-2</v>
      </c>
      <c r="GC109" s="28">
        <v>88.600418699089062</v>
      </c>
      <c r="GD109" s="29">
        <v>2.3642989535769359E-2</v>
      </c>
      <c r="GE109" s="28">
        <v>88.629358136364445</v>
      </c>
      <c r="GF109" s="29">
        <v>1.3781305283551972E-2</v>
      </c>
      <c r="GG109" s="28">
        <v>88.658307026089844</v>
      </c>
      <c r="GH109" s="29">
        <v>6.8702469293401717E-3</v>
      </c>
      <c r="GI109" s="28">
        <v>88.687265371352709</v>
      </c>
      <c r="GJ109" s="29">
        <v>2.6443180041048906E-3</v>
      </c>
      <c r="GK109" s="28">
        <v>88.71623317524147</v>
      </c>
      <c r="GL109" s="29">
        <v>6.0055682076860881E-4</v>
      </c>
      <c r="GM109" s="28">
        <v>88.745210440845625</v>
      </c>
      <c r="GN109" s="29">
        <v>0</v>
      </c>
      <c r="GO109" s="28">
        <v>88.774197171255608</v>
      </c>
      <c r="GP109" s="29">
        <v>0</v>
      </c>
      <c r="GQ109" s="28">
        <v>88.803193369562919</v>
      </c>
      <c r="GR109" s="29">
        <v>0</v>
      </c>
      <c r="GS109" s="28">
        <v>88.832199038860026</v>
      </c>
      <c r="GT109" s="29">
        <v>0</v>
      </c>
    </row>
    <row r="110" spans="1:202" x14ac:dyDescent="0.25">
      <c r="K110" s="28">
        <v>82.426230932089268</v>
      </c>
      <c r="L110" s="29">
        <v>2.4458978343764137</v>
      </c>
      <c r="M110" s="28">
        <v>82.453153702601313</v>
      </c>
      <c r="N110" s="29">
        <v>2.4140300387459868</v>
      </c>
      <c r="O110" s="28">
        <v>82.480085266862176</v>
      </c>
      <c r="P110" s="29">
        <v>2.3820933060053009</v>
      </c>
      <c r="Q110" s="28">
        <v>82.507025627744142</v>
      </c>
      <c r="R110" s="29">
        <v>2.3500886144102595</v>
      </c>
      <c r="S110" s="28">
        <v>82.533974788120474</v>
      </c>
      <c r="T110" s="29">
        <v>2.3180168365639631</v>
      </c>
      <c r="U110" s="28">
        <v>82.560932750865319</v>
      </c>
      <c r="V110" s="29">
        <v>2.2858788851098701</v>
      </c>
      <c r="W110" s="28">
        <v>82.587899518853803</v>
      </c>
      <c r="X110" s="29">
        <v>2.2536757327003101</v>
      </c>
      <c r="Y110" s="28">
        <v>82.614875094961931</v>
      </c>
      <c r="Z110" s="29">
        <v>2.2214084172706716</v>
      </c>
      <c r="AA110" s="28">
        <v>82.641859482066749</v>
      </c>
      <c r="AB110" s="29">
        <v>2.1890780458776882</v>
      </c>
      <c r="AC110" s="28">
        <v>82.668852683046126</v>
      </c>
      <c r="AD110" s="29">
        <v>2.1566857985705816</v>
      </c>
      <c r="AE110" s="28">
        <v>82.695854700778924</v>
      </c>
      <c r="AF110" s="29">
        <v>2.1242329324508202</v>
      </c>
      <c r="AG110" s="28">
        <v>82.722865538145015</v>
      </c>
      <c r="AH110" s="29">
        <v>2.091720785956984</v>
      </c>
      <c r="AI110" s="28">
        <v>82.749885198025055</v>
      </c>
      <c r="AJ110" s="29">
        <v>2.059150783405483</v>
      </c>
      <c r="AK110" s="28">
        <v>82.776913683300805</v>
      </c>
      <c r="AL110" s="29">
        <v>2.0265244398074267</v>
      </c>
      <c r="AM110" s="28">
        <v>82.803950996854837</v>
      </c>
      <c r="AN110" s="29">
        <v>1.9938433659819388</v>
      </c>
      <c r="AO110" s="28">
        <v>82.830997141570748</v>
      </c>
      <c r="AP110" s="29">
        <v>1.9611092739870293</v>
      </c>
      <c r="AQ110" s="28">
        <v>82.858052120333056</v>
      </c>
      <c r="AR110" s="29">
        <v>1.9283239828898222</v>
      </c>
      <c r="AS110" s="28">
        <v>82.885115936027205</v>
      </c>
      <c r="AT110" s="29">
        <v>1.8954894249003185</v>
      </c>
      <c r="AU110" s="28">
        <v>82.912188591539575</v>
      </c>
      <c r="AV110" s="29">
        <v>1.8626076518943473</v>
      </c>
      <c r="AW110" s="28">
        <v>82.939270089757528</v>
      </c>
      <c r="AX110" s="29">
        <v>1.8296808423532955</v>
      </c>
      <c r="AY110" s="28">
        <v>82.966360433569335</v>
      </c>
      <c r="AZ110" s="29">
        <v>1.7967113087506965</v>
      </c>
      <c r="BA110" s="28">
        <v>82.993459625864219</v>
      </c>
      <c r="BB110" s="29">
        <v>1.7637015054177192</v>
      </c>
      <c r="BC110" s="28">
        <v>83.02056766953234</v>
      </c>
      <c r="BD110" s="29">
        <v>1.7306540369227053</v>
      </c>
      <c r="BE110" s="28">
        <v>83.047684567464813</v>
      </c>
      <c r="BF110" s="29">
        <v>1.697571667002189</v>
      </c>
      <c r="BG110" s="28">
        <v>83.074810322553716</v>
      </c>
      <c r="BH110" s="29">
        <v>1.6644573280840773</v>
      </c>
      <c r="BI110" s="28">
        <v>83.101944937692039</v>
      </c>
      <c r="BJ110" s="29">
        <v>1.6313141314472381</v>
      </c>
      <c r="BK110" s="28">
        <v>83.129088415773722</v>
      </c>
      <c r="BL110" s="29">
        <v>1.5981453780647279</v>
      </c>
      <c r="BM110" s="28">
        <v>83.156240759693645</v>
      </c>
      <c r="BN110" s="29">
        <v>1.5649545701824772</v>
      </c>
      <c r="BO110" s="28">
        <v>83.183401972347653</v>
      </c>
      <c r="BP110" s="29">
        <v>1.5317454236889267</v>
      </c>
      <c r="BQ110" s="28">
        <v>83.210572056632557</v>
      </c>
      <c r="BR110" s="29">
        <v>1.4985218813360561</v>
      </c>
      <c r="BS110" s="28">
        <v>83.237751015446065</v>
      </c>
      <c r="BT110" s="29">
        <v>1.4652881268771423</v>
      </c>
      <c r="BU110" s="28">
        <v>83.264938851686807</v>
      </c>
      <c r="BV110" s="29">
        <v>1.4320486001919237</v>
      </c>
      <c r="BW110" s="28">
        <v>83.292135568254494</v>
      </c>
      <c r="BX110" s="29">
        <v>1.398808013476015</v>
      </c>
      <c r="BY110" s="28">
        <v>83.319341168049618</v>
      </c>
      <c r="BZ110" s="29">
        <v>1.3655713685773438</v>
      </c>
      <c r="CA110" s="28">
        <v>83.346555653973738</v>
      </c>
      <c r="CB110" s="29">
        <v>1.3323439755699349</v>
      </c>
      <c r="CC110" s="28">
        <v>83.373779028929334</v>
      </c>
      <c r="CD110" s="29">
        <v>1.2991314726623138</v>
      </c>
      <c r="CE110" s="28">
        <v>83.401011295819771</v>
      </c>
      <c r="CF110" s="29">
        <v>1.2659398475462338</v>
      </c>
      <c r="CG110" s="28">
        <v>83.428252457549434</v>
      </c>
      <c r="CH110" s="29">
        <v>1.2327754603001435</v>
      </c>
      <c r="CI110" s="28">
        <v>83.455502517023632</v>
      </c>
      <c r="CJ110" s="29">
        <v>1.1996450679712118</v>
      </c>
      <c r="CK110" s="28">
        <v>83.482761477148628</v>
      </c>
      <c r="CL110" s="29">
        <v>1.1665558509700045</v>
      </c>
      <c r="CM110" s="28">
        <v>83.510029340831636</v>
      </c>
      <c r="CN110" s="29">
        <v>1.1335154414226014</v>
      </c>
      <c r="CO110" s="28">
        <v>83.537306110980779</v>
      </c>
      <c r="CP110" s="29">
        <v>1.1005319536369516</v>
      </c>
      <c r="CQ110" s="28">
        <v>83.56459179050519</v>
      </c>
      <c r="CR110" s="29">
        <v>1.0676140168521577</v>
      </c>
      <c r="CS110" s="28">
        <v>83.591886382314925</v>
      </c>
      <c r="CT110" s="29">
        <v>1.0347708104530922</v>
      </c>
      <c r="CU110" s="28">
        <v>83.619189889321007</v>
      </c>
      <c r="CV110" s="29">
        <v>1.0020121018458519</v>
      </c>
      <c r="CW110" s="28">
        <v>83.646502314435367</v>
      </c>
      <c r="CX110" s="29">
        <v>0.96934828720453758</v>
      </c>
      <c r="CY110" s="28">
        <v>83.673823660570889</v>
      </c>
      <c r="CZ110" s="29">
        <v>0.93679043531399953</v>
      </c>
      <c r="DA110" s="28">
        <v>83.70115393064151</v>
      </c>
      <c r="DB110" s="29">
        <v>0.90435033474862403</v>
      </c>
      <c r="DC110" s="28">
        <v>83.728493127562018</v>
      </c>
      <c r="DD110" s="29">
        <v>0.87204054464154512</v>
      </c>
      <c r="DE110" s="28">
        <v>83.755841254248125</v>
      </c>
      <c r="DF110" s="29">
        <v>0.83987444931331279</v>
      </c>
      <c r="DG110" s="28">
        <v>83.783198313616637</v>
      </c>
      <c r="DH110" s="29">
        <v>0.807866317041674</v>
      </c>
      <c r="DI110" s="28">
        <v>83.810564308585143</v>
      </c>
      <c r="DJ110" s="29">
        <v>0.77603136326513389</v>
      </c>
      <c r="DK110" s="28">
        <v>83.837939242072281</v>
      </c>
      <c r="DL110" s="29">
        <v>0.74438581852083263</v>
      </c>
      <c r="DM110" s="28">
        <v>83.865323116997672</v>
      </c>
      <c r="DN110" s="29">
        <v>0.71294700142000733</v>
      </c>
      <c r="DO110" s="28">
        <v>83.892715936281817</v>
      </c>
      <c r="DP110" s="29">
        <v>0.6817333969606576</v>
      </c>
      <c r="DQ110" s="28">
        <v>83.920117702846184</v>
      </c>
      <c r="DR110" s="29">
        <v>0.65076474046367783</v>
      </c>
      <c r="DS110" s="28">
        <v>83.947528419613235</v>
      </c>
      <c r="DT110" s="29">
        <v>0.62006210739244882</v>
      </c>
      <c r="DU110" s="28">
        <v>83.974948089506356</v>
      </c>
      <c r="DV110" s="29">
        <v>0.58964800927165273</v>
      </c>
      <c r="DW110" s="28">
        <v>84.002376715449898</v>
      </c>
      <c r="DX110" s="29">
        <v>0.55954649585322913</v>
      </c>
      <c r="DY110" s="28">
        <v>84.029814300369168</v>
      </c>
      <c r="DZ110" s="29">
        <v>0.52978326357664085</v>
      </c>
      <c r="EA110" s="28">
        <v>84.05726084719042</v>
      </c>
      <c r="EB110" s="29">
        <v>0.50038577022788922</v>
      </c>
      <c r="EC110" s="28">
        <v>84.084716358840865</v>
      </c>
      <c r="ED110" s="29">
        <v>0.47138335550088967</v>
      </c>
      <c r="EE110" s="28">
        <v>84.112180838248676</v>
      </c>
      <c r="EF110" s="29">
        <v>0.44280736688867472</v>
      </c>
      <c r="EG110" s="28">
        <v>84.139654288342953</v>
      </c>
      <c r="EH110" s="29">
        <v>0.41469128995559668</v>
      </c>
      <c r="EI110" s="28">
        <v>84.167136712053832</v>
      </c>
      <c r="EJ110" s="29">
        <v>0.38707088153235653</v>
      </c>
      <c r="EK110" s="28">
        <v>84.194628112312316</v>
      </c>
      <c r="EL110" s="29">
        <v>0.35998430369207846</v>
      </c>
      <c r="EM110" s="28">
        <v>84.222128492050416</v>
      </c>
      <c r="EN110" s="29">
        <v>0.33347225545137865</v>
      </c>
      <c r="EO110" s="28">
        <v>84.249637854201083</v>
      </c>
      <c r="EP110" s="29">
        <v>0.30757809792318819</v>
      </c>
      <c r="EQ110" s="28">
        <v>84.277156201698247</v>
      </c>
      <c r="ER110" s="29">
        <v>0.28234796703276943</v>
      </c>
      <c r="ES110" s="28">
        <v>84.304683537476734</v>
      </c>
      <c r="ET110" s="29">
        <v>0.25783086577092384</v>
      </c>
      <c r="EU110" s="28">
        <v>84.332219864472435</v>
      </c>
      <c r="EV110" s="29">
        <v>0.23407872513899877</v>
      </c>
      <c r="EW110" s="28">
        <v>84.359765185622081</v>
      </c>
      <c r="EX110" s="29">
        <v>0.2111464192315701</v>
      </c>
      <c r="EY110" s="28">
        <v>84.387319503863466</v>
      </c>
      <c r="EZ110" s="29">
        <v>0.18909171504510355</v>
      </c>
      <c r="FA110" s="28">
        <v>84.414882822135283</v>
      </c>
      <c r="FB110" s="29">
        <v>0.16797513126629759</v>
      </c>
      <c r="FC110" s="28">
        <v>84.442455143377202</v>
      </c>
      <c r="FD110" s="29">
        <v>0.14785967209027437</v>
      </c>
      <c r="FE110" s="28">
        <v>84.470036470529834</v>
      </c>
      <c r="FF110" s="29">
        <v>0.12881039158992849</v>
      </c>
      <c r="FG110" s="28">
        <v>84.497626806534782</v>
      </c>
      <c r="FH110" s="29">
        <v>0.11089373082491037</v>
      </c>
      <c r="FI110" s="28">
        <v>84.525226154334604</v>
      </c>
      <c r="FJ110" s="29">
        <v>9.4176553325063667E-2</v>
      </c>
      <c r="FK110" s="28">
        <v>84.552834516872778</v>
      </c>
      <c r="FL110" s="29">
        <v>7.8724784649924343E-2</v>
      </c>
      <c r="FM110" s="28">
        <v>84.580451897093837</v>
      </c>
      <c r="FN110" s="29">
        <v>6.4601538898290053E-2</v>
      </c>
      <c r="FO110" s="28">
        <v>84.608078297943152</v>
      </c>
      <c r="FP110" s="29">
        <v>5.1864591183054469E-2</v>
      </c>
      <c r="FQ110" s="28">
        <v>84.635713722367157</v>
      </c>
      <c r="FR110" s="29">
        <v>4.0563034768220596E-2</v>
      </c>
      <c r="FS110" s="28">
        <v>84.663358173313185</v>
      </c>
      <c r="FT110" s="29">
        <v>3.0732954389323306E-2</v>
      </c>
      <c r="FU110" s="28">
        <v>84.691011653729575</v>
      </c>
      <c r="FV110" s="29">
        <v>2.2391971725340715E-2</v>
      </c>
      <c r="FW110" s="28">
        <v>84.71867416656562</v>
      </c>
      <c r="FX110" s="29">
        <v>1.5532608350776239E-2</v>
      </c>
      <c r="FY110" s="28">
        <v>84.746345714771522</v>
      </c>
      <c r="FZ110" s="29">
        <v>1.0114621936972107E-2</v>
      </c>
      <c r="GA110" s="28">
        <v>84.774026301298534</v>
      </c>
      <c r="GB110" s="29">
        <v>6.0568900790431424E-3</v>
      </c>
      <c r="GC110" s="28">
        <v>84.801715929098819</v>
      </c>
      <c r="GD110" s="29">
        <v>3.2301602845465844E-3</v>
      </c>
      <c r="GE110" s="28">
        <v>84.829414601125521</v>
      </c>
      <c r="GF110" s="29">
        <v>1.4531676008232993E-3</v>
      </c>
      <c r="GG110" s="28">
        <v>84.857122320332735</v>
      </c>
      <c r="GH110" s="29">
        <v>4.9622241017072165E-4</v>
      </c>
      <c r="GI110" s="28">
        <v>84.884839089675538</v>
      </c>
      <c r="GJ110" s="29">
        <v>9.7883778372602834E-5</v>
      </c>
      <c r="GK110" s="28">
        <v>84.912564912109943</v>
      </c>
      <c r="GL110" s="29">
        <v>0</v>
      </c>
      <c r="GM110" s="28">
        <v>84.940299790592974</v>
      </c>
      <c r="GN110" s="29">
        <v>0</v>
      </c>
      <c r="GO110" s="28">
        <v>84.968043728082591</v>
      </c>
      <c r="GP110" s="29">
        <v>0</v>
      </c>
      <c r="GQ110" s="28">
        <v>84.995796727537723</v>
      </c>
      <c r="GR110" s="29">
        <v>0</v>
      </c>
      <c r="GS110" s="28">
        <v>85.023558791918262</v>
      </c>
      <c r="GT110" s="29">
        <v>0</v>
      </c>
    </row>
    <row r="111" spans="1:202" x14ac:dyDescent="0.25">
      <c r="M111" s="28">
        <v>78.918012131450666</v>
      </c>
      <c r="N111" s="29">
        <v>1.6909804919990965</v>
      </c>
      <c r="O111" s="28">
        <v>78.943789017107747</v>
      </c>
      <c r="P111" s="29">
        <v>1.6645411751568087</v>
      </c>
      <c r="Q111" s="28">
        <v>78.969574322234791</v>
      </c>
      <c r="R111" s="29">
        <v>1.6380945264792404</v>
      </c>
      <c r="S111" s="28">
        <v>78.99536804958187</v>
      </c>
      <c r="T111" s="29">
        <v>1.611643424268896</v>
      </c>
      <c r="U111" s="28">
        <v>79.021170201899906</v>
      </c>
      <c r="V111" s="29">
        <v>1.5851899522149386</v>
      </c>
      <c r="W111" s="28">
        <v>79.046980781940746</v>
      </c>
      <c r="X111" s="29">
        <v>1.5587361747462509</v>
      </c>
      <c r="Y111" s="28">
        <v>79.072799792457104</v>
      </c>
      <c r="Z111" s="29">
        <v>1.5322842317493184</v>
      </c>
      <c r="AA111" s="28">
        <v>79.09862723620266</v>
      </c>
      <c r="AB111" s="29">
        <v>1.5058363525126977</v>
      </c>
      <c r="AC111" s="28">
        <v>79.124463115931903</v>
      </c>
      <c r="AD111" s="29">
        <v>1.4793948609693424</v>
      </c>
      <c r="AE111" s="28">
        <v>79.150307434400261</v>
      </c>
      <c r="AF111" s="29">
        <v>1.4529621802361978</v>
      </c>
      <c r="AG111" s="28">
        <v>79.176160194364144</v>
      </c>
      <c r="AH111" s="29">
        <v>1.4265408372067727</v>
      </c>
      <c r="AI111" s="28">
        <v>79.202021398580683</v>
      </c>
      <c r="AJ111" s="29">
        <v>1.4001334672764159</v>
      </c>
      <c r="AK111" s="28">
        <v>79.227891049808093</v>
      </c>
      <c r="AL111" s="29">
        <v>1.3737428192857304</v>
      </c>
      <c r="AM111" s="28">
        <v>79.253769150805354</v>
      </c>
      <c r="AN111" s="29">
        <v>1.3473717607047806</v>
      </c>
      <c r="AO111" s="28">
        <v>79.279655704332441</v>
      </c>
      <c r="AP111" s="29">
        <v>1.3210232830784598</v>
      </c>
      <c r="AQ111" s="28">
        <v>79.305550713150183</v>
      </c>
      <c r="AR111" s="29">
        <v>1.2947005077483817</v>
      </c>
      <c r="AS111" s="28">
        <v>79.33145418002033</v>
      </c>
      <c r="AT111" s="29">
        <v>1.2684066918668775</v>
      </c>
      <c r="AU111" s="28">
        <v>79.357366107705502</v>
      </c>
      <c r="AV111" s="29">
        <v>1.2421452347190316</v>
      </c>
      <c r="AW111" s="28">
        <v>79.383286498969255</v>
      </c>
      <c r="AX111" s="29">
        <v>1.2159196843696807</v>
      </c>
      <c r="AY111" s="28">
        <v>79.409215356576041</v>
      </c>
      <c r="AZ111" s="29">
        <v>1.1897337446526632</v>
      </c>
      <c r="BA111" s="28">
        <v>79.435152683291207</v>
      </c>
      <c r="BB111" s="29">
        <v>1.1635912825209591</v>
      </c>
      <c r="BC111" s="28">
        <v>79.461098481880995</v>
      </c>
      <c r="BD111" s="29">
        <v>1.1374963357769132</v>
      </c>
      <c r="BE111" s="28">
        <v>79.487052755112572</v>
      </c>
      <c r="BF111" s="29">
        <v>1.1114531212027867</v>
      </c>
      <c r="BG111" s="28">
        <v>79.513015505754012</v>
      </c>
      <c r="BH111" s="29">
        <v>1.0854660431127618</v>
      </c>
      <c r="BI111" s="28">
        <v>79.538986736574273</v>
      </c>
      <c r="BJ111" s="29">
        <v>1.0595397023482931</v>
      </c>
      <c r="BK111" s="28">
        <v>79.564966450343206</v>
      </c>
      <c r="BL111" s="29">
        <v>1.0336789057399038</v>
      </c>
      <c r="BM111" s="28">
        <v>79.590954649831588</v>
      </c>
      <c r="BN111" s="29">
        <v>1.0078886760589454</v>
      </c>
      <c r="BO111" s="28">
        <v>79.616951337811116</v>
      </c>
      <c r="BP111" s="29">
        <v>0.98217426248399631</v>
      </c>
      <c r="BQ111" s="28">
        <v>79.642956517054373</v>
      </c>
      <c r="BR111" s="29">
        <v>0.95654115160701658</v>
      </c>
      <c r="BS111" s="28">
        <v>79.668970190334861</v>
      </c>
      <c r="BT111" s="29">
        <v>0.9309950790051712</v>
      </c>
      <c r="BU111" s="28">
        <v>79.694992360426909</v>
      </c>
      <c r="BV111" s="29">
        <v>0.90554204140460859</v>
      </c>
      <c r="BW111" s="28">
        <v>79.721023030105911</v>
      </c>
      <c r="BX111" s="29">
        <v>0.88018830946276128</v>
      </c>
      <c r="BY111" s="28">
        <v>79.747062202148001</v>
      </c>
      <c r="BZ111" s="29">
        <v>0.85494044119579049</v>
      </c>
      <c r="CA111" s="28">
        <v>79.773109879330335</v>
      </c>
      <c r="CB111" s="29">
        <v>0.82980529607753994</v>
      </c>
      <c r="CC111" s="28">
        <v>79.799166064430949</v>
      </c>
      <c r="CD111" s="29">
        <v>0.80479004983562463</v>
      </c>
      <c r="CE111" s="28">
        <v>79.825230760228735</v>
      </c>
      <c r="CF111" s="29">
        <v>0.7799022099692321</v>
      </c>
      <c r="CG111" s="28">
        <v>79.851303969503547</v>
      </c>
      <c r="CH111" s="29">
        <v>0.75514963201154051</v>
      </c>
      <c r="CI111" s="28">
        <v>79.877385695036139</v>
      </c>
      <c r="CJ111" s="29">
        <v>0.73054053655686169</v>
      </c>
      <c r="CK111" s="28">
        <v>79.903475939608157</v>
      </c>
      <c r="CL111" s="29">
        <v>0.70608352706966293</v>
      </c>
      <c r="CM111" s="28">
        <v>79.929574706002185</v>
      </c>
      <c r="CN111" s="29">
        <v>0.68178760848780251</v>
      </c>
      <c r="CO111" s="28">
        <v>79.955681997001633</v>
      </c>
      <c r="CP111" s="29">
        <v>0.65766220662649388</v>
      </c>
      <c r="CQ111" s="28">
        <v>79.981797815390934</v>
      </c>
      <c r="CR111" s="29">
        <v>0.63371718838211077</v>
      </c>
      <c r="CS111" s="28">
        <v>80.007922163955371</v>
      </c>
      <c r="CT111" s="29">
        <v>0.60996288272509247</v>
      </c>
      <c r="CU111" s="28">
        <v>80.034055045481153</v>
      </c>
      <c r="CV111" s="29">
        <v>0.58641010245939251</v>
      </c>
      <c r="CW111" s="28">
        <v>80.060196462755371</v>
      </c>
      <c r="CX111" s="29">
        <v>0.56307016671069787</v>
      </c>
      <c r="CY111" s="28">
        <v>80.086346418566009</v>
      </c>
      <c r="CZ111" s="29">
        <v>0.53995492408690726</v>
      </c>
      <c r="DA111" s="28">
        <v>80.112504915702075</v>
      </c>
      <c r="DB111" s="29">
        <v>0.51707677643115357</v>
      </c>
      <c r="DC111" s="28">
        <v>80.138671956953388</v>
      </c>
      <c r="DD111" s="29">
        <v>0.49444870305914995</v>
      </c>
      <c r="DE111" s="28">
        <v>80.164847545110646</v>
      </c>
      <c r="DF111" s="29">
        <v>0.47208428533738994</v>
      </c>
      <c r="DG111" s="28">
        <v>80.191031682965601</v>
      </c>
      <c r="DH111" s="29">
        <v>0.44999773141593113</v>
      </c>
      <c r="DI111" s="28">
        <v>80.217224373310756</v>
      </c>
      <c r="DJ111" s="29">
        <v>0.42820390087659416</v>
      </c>
      <c r="DK111" s="28">
        <v>80.243425618939611</v>
      </c>
      <c r="DL111" s="29">
        <v>0.40671832899353783</v>
      </c>
      <c r="DM111" s="28">
        <v>80.269635422646616</v>
      </c>
      <c r="DN111" s="29">
        <v>0.38555725022481274</v>
      </c>
      <c r="DO111" s="28">
        <v>80.295853787227045</v>
      </c>
      <c r="DP111" s="29">
        <v>0.36473762045831437</v>
      </c>
      <c r="DQ111" s="28">
        <v>80.322080715477099</v>
      </c>
      <c r="DR111" s="29">
        <v>0.34427713742015564</v>
      </c>
      <c r="DS111" s="28">
        <v>80.348316210193971</v>
      </c>
      <c r="DT111" s="29">
        <v>0.32419425851305056</v>
      </c>
      <c r="DU111" s="28">
        <v>80.374560274175693</v>
      </c>
      <c r="DV111" s="29">
        <v>0.30450821518230853</v>
      </c>
      <c r="DW111" s="28">
        <v>80.400812910221234</v>
      </c>
      <c r="DX111" s="29">
        <v>0.28523902270117724</v>
      </c>
      <c r="DY111" s="28">
        <v>80.427074121130488</v>
      </c>
      <c r="DZ111" s="29">
        <v>0.26640748401860337</v>
      </c>
      <c r="EA111" s="28">
        <v>80.45334390970423</v>
      </c>
      <c r="EB111" s="29">
        <v>0.2480351860117381</v>
      </c>
      <c r="EC111" s="28">
        <v>80.479622278744188</v>
      </c>
      <c r="ED111" s="29">
        <v>0.23014448612422253</v>
      </c>
      <c r="EE111" s="28">
        <v>80.505909231052982</v>
      </c>
      <c r="EF111" s="29">
        <v>0.21275848693611579</v>
      </c>
      <c r="EG111" s="28">
        <v>80.532204769434117</v>
      </c>
      <c r="EH111" s="29">
        <v>0.19590099569054537</v>
      </c>
      <c r="EI111" s="28">
        <v>80.558508896692118</v>
      </c>
      <c r="EJ111" s="29">
        <v>0.17959646518054012</v>
      </c>
      <c r="EK111" s="28">
        <v>80.584821615632322</v>
      </c>
      <c r="EL111" s="29">
        <v>0.16386991166097184</v>
      </c>
      <c r="EM111" s="28">
        <v>80.611142929061018</v>
      </c>
      <c r="EN111" s="29">
        <v>0.14874680457959708</v>
      </c>
      <c r="EO111" s="28">
        <v>80.637472839785417</v>
      </c>
      <c r="EP111" s="29">
        <v>0.13425292190237467</v>
      </c>
      <c r="EQ111" s="28">
        <v>80.663811350613656</v>
      </c>
      <c r="ER111" s="29">
        <v>0.12041416363059197</v>
      </c>
      <c r="ES111" s="28">
        <v>80.690158464354738</v>
      </c>
      <c r="ET111" s="29">
        <v>0.10725631476831814</v>
      </c>
      <c r="EU111" s="28">
        <v>80.716514183818674</v>
      </c>
      <c r="EV111" s="29">
        <v>9.4804747511020804E-2</v>
      </c>
      <c r="EW111" s="28">
        <v>80.742878511816286</v>
      </c>
      <c r="EX111" s="29">
        <v>8.3084050830301015E-2</v>
      </c>
      <c r="EY111" s="28">
        <v>80.769251451159406</v>
      </c>
      <c r="EZ111" s="29">
        <v>7.2117574011062849E-2</v>
      </c>
      <c r="FA111" s="28">
        <v>80.795633004660729</v>
      </c>
      <c r="FB111" s="29">
        <v>6.19268692148911E-2</v>
      </c>
      <c r="FC111" s="28">
        <v>80.822023175133893</v>
      </c>
      <c r="FD111" s="29">
        <v>5.2531017070193642E-2</v>
      </c>
      <c r="FE111" s="28">
        <v>80.848421965393442</v>
      </c>
      <c r="FF111" s="29">
        <v>4.3945819075955767E-2</v>
      </c>
      <c r="FG111" s="28">
        <v>80.874829378254844</v>
      </c>
      <c r="FH111" s="29">
        <v>3.6182841965299702E-2</v>
      </c>
      <c r="FI111" s="28">
        <v>80.901245416534493</v>
      </c>
      <c r="FJ111" s="29">
        <v>2.92483032089479E-2</v>
      </c>
      <c r="FK111" s="28">
        <v>80.927670083049691</v>
      </c>
      <c r="FL111" s="29">
        <v>2.3141795194324216E-2</v>
      </c>
      <c r="FM111" s="28">
        <v>80.954103380618704</v>
      </c>
      <c r="FN111" s="29">
        <v>1.785486067786074E-2</v>
      </c>
      <c r="FO111" s="28">
        <v>80.980545312060627</v>
      </c>
      <c r="FP111" s="29">
        <v>1.3369457180365982E-2</v>
      </c>
      <c r="FQ111" s="28">
        <v>81.006995880195575</v>
      </c>
      <c r="FR111" s="29">
        <v>9.6563873735697973E-3</v>
      </c>
      <c r="FS111" s="28">
        <v>81.033455087844501</v>
      </c>
      <c r="FT111" s="29">
        <v>6.6738311995311215E-3</v>
      </c>
      <c r="FU111" s="28">
        <v>81.059922937829342</v>
      </c>
      <c r="FV111" s="29">
        <v>4.366198070754914E-3</v>
      </c>
      <c r="FW111" s="28">
        <v>81.086399432972939</v>
      </c>
      <c r="FX111" s="29">
        <v>2.6636252980672794E-3</v>
      </c>
      <c r="FY111" s="28">
        <v>81.112884576099006</v>
      </c>
      <c r="FZ111" s="29">
        <v>1.482573576377294E-3</v>
      </c>
      <c r="GA111" s="28">
        <v>81.139378370032276</v>
      </c>
      <c r="GB111" s="29">
        <v>7.2808213305052059E-4</v>
      </c>
      <c r="GC111" s="28">
        <v>81.165880817598321</v>
      </c>
      <c r="GD111" s="29">
        <v>2.9827416072565388E-4</v>
      </c>
      <c r="GE111" s="28">
        <v>81.192391921623667</v>
      </c>
      <c r="GF111" s="29">
        <v>9.1510104018990195E-5</v>
      </c>
      <c r="GG111" s="28">
        <v>81.218911684935776</v>
      </c>
      <c r="GH111" s="29">
        <v>1.5953917659667097E-5</v>
      </c>
      <c r="GI111" s="28">
        <v>81.24544011036302</v>
      </c>
      <c r="GJ111" s="29">
        <v>0</v>
      </c>
      <c r="GK111" s="28">
        <v>81.271977200734653</v>
      </c>
      <c r="GL111" s="29">
        <v>0</v>
      </c>
      <c r="GM111" s="28">
        <v>81.298522958880952</v>
      </c>
      <c r="GN111" s="29">
        <v>0</v>
      </c>
      <c r="GO111" s="28">
        <v>81.32507738763303</v>
      </c>
      <c r="GP111" s="29">
        <v>0</v>
      </c>
      <c r="GQ111" s="28">
        <v>81.351640489822955</v>
      </c>
      <c r="GR111" s="29">
        <v>0</v>
      </c>
      <c r="GS111" s="28">
        <v>81.378212268283733</v>
      </c>
      <c r="GT111" s="29">
        <v>0</v>
      </c>
    </row>
    <row r="112" spans="1:202" x14ac:dyDescent="0.25">
      <c r="O112" s="28">
        <v>75.559109865293578</v>
      </c>
      <c r="P112" s="29">
        <v>1.1362064798838529</v>
      </c>
      <c r="Q112" s="28">
        <v>75.583789637157352</v>
      </c>
      <c r="R112" s="29">
        <v>1.1150719204828949</v>
      </c>
      <c r="S112" s="28">
        <v>75.608477470142304</v>
      </c>
      <c r="T112" s="29">
        <v>1.0939759439669556</v>
      </c>
      <c r="U112" s="28">
        <v>75.633173366881408</v>
      </c>
      <c r="V112" s="29">
        <v>1.0729264251093085</v>
      </c>
      <c r="W112" s="28">
        <v>75.657877330008517</v>
      </c>
      <c r="X112" s="29">
        <v>1.0519265903673793</v>
      </c>
      <c r="Y112" s="28">
        <v>75.682589362158325</v>
      </c>
      <c r="Z112" s="29">
        <v>1.030979195322606</v>
      </c>
      <c r="AA112" s="28">
        <v>75.707309465966446</v>
      </c>
      <c r="AB112" s="29">
        <v>1.0100870226541103</v>
      </c>
      <c r="AC112" s="28">
        <v>75.732037644069294</v>
      </c>
      <c r="AD112" s="29">
        <v>0.98925293980565732</v>
      </c>
      <c r="AE112" s="28">
        <v>75.756773899104147</v>
      </c>
      <c r="AF112" s="29">
        <v>0.96847990811993678</v>
      </c>
      <c r="AG112" s="28">
        <v>75.781518233709221</v>
      </c>
      <c r="AH112" s="29">
        <v>0.94777098742350918</v>
      </c>
      <c r="AI112" s="28">
        <v>75.806270650523459</v>
      </c>
      <c r="AJ112" s="29">
        <v>0.92712934015798809</v>
      </c>
      <c r="AK112" s="28">
        <v>75.831031152186796</v>
      </c>
      <c r="AL112" s="29">
        <v>0.90655823517387268</v>
      </c>
      <c r="AM112" s="28">
        <v>75.855799741339936</v>
      </c>
      <c r="AN112" s="29">
        <v>0.88606105157770931</v>
      </c>
      <c r="AO112" s="28">
        <v>75.880576420624536</v>
      </c>
      <c r="AP112" s="29">
        <v>0.86564128266865659</v>
      </c>
      <c r="AQ112" s="28">
        <v>75.905361192683017</v>
      </c>
      <c r="AR112" s="29">
        <v>0.84530254000116245</v>
      </c>
      <c r="AS112" s="28">
        <v>75.930154060158756</v>
      </c>
      <c r="AT112" s="29">
        <v>0.82504855758041473</v>
      </c>
      <c r="AU112" s="28">
        <v>75.954955025695909</v>
      </c>
      <c r="AV112" s="29">
        <v>0.80488319619511928</v>
      </c>
      <c r="AW112" s="28">
        <v>75.979764091939543</v>
      </c>
      <c r="AX112" s="29">
        <v>0.78481044788931897</v>
      </c>
      <c r="AY112" s="28">
        <v>76.004581261535591</v>
      </c>
      <c r="AZ112" s="29">
        <v>0.76483444057428984</v>
      </c>
      <c r="BA112" s="28">
        <v>76.029406537130853</v>
      </c>
      <c r="BB112" s="29">
        <v>0.7449594427806252</v>
      </c>
      <c r="BC112" s="28">
        <v>76.05423992137294</v>
      </c>
      <c r="BD112" s="29">
        <v>0.72518986854971612</v>
      </c>
      <c r="BE112" s="28">
        <v>76.079081416910398</v>
      </c>
      <c r="BF112" s="29">
        <v>0.7055302824629297</v>
      </c>
      <c r="BG112" s="28">
        <v>76.103931026392615</v>
      </c>
      <c r="BH112" s="29">
        <v>0.68598540480554937</v>
      </c>
      <c r="BI112" s="28">
        <v>76.128788752469845</v>
      </c>
      <c r="BJ112" s="29">
        <v>0.66656011686125438</v>
      </c>
      <c r="BK112" s="28">
        <v>76.15365459779315</v>
      </c>
      <c r="BL112" s="29">
        <v>0.64725946633124609</v>
      </c>
      <c r="BM112" s="28">
        <v>76.178528565014545</v>
      </c>
      <c r="BN112" s="29">
        <v>0.6280886728703089</v>
      </c>
      <c r="BO112" s="28">
        <v>76.203410656786872</v>
      </c>
      <c r="BP112" s="29">
        <v>0.60905313372974268</v>
      </c>
      <c r="BQ112" s="28">
        <v>76.22830087576385</v>
      </c>
      <c r="BR112" s="29">
        <v>0.59015842949482911</v>
      </c>
      <c r="BS112" s="28">
        <v>76.253199224600053</v>
      </c>
      <c r="BT112" s="29">
        <v>0.57141032990123775</v>
      </c>
      <c r="BU112" s="28">
        <v>76.278105705950892</v>
      </c>
      <c r="BV112" s="29">
        <v>0.5528147997115449</v>
      </c>
      <c r="BW112" s="28">
        <v>76.303020322472733</v>
      </c>
      <c r="BX112" s="29">
        <v>0.53437800462883034</v>
      </c>
      <c r="BY112" s="28">
        <v>76.327943076822706</v>
      </c>
      <c r="BZ112" s="29">
        <v>0.51610631721989764</v>
      </c>
      <c r="CA112" s="28">
        <v>76.352873971658894</v>
      </c>
      <c r="CB112" s="29">
        <v>0.49800632281508656</v>
      </c>
      <c r="CC112" s="28">
        <v>76.377813009640221</v>
      </c>
      <c r="CD112" s="29">
        <v>0.48008482534558666</v>
      </c>
      <c r="CE112" s="28">
        <v>76.402760193426445</v>
      </c>
      <c r="CF112" s="29">
        <v>0.46234885307193296</v>
      </c>
      <c r="CG112" s="28">
        <v>76.427715525678224</v>
      </c>
      <c r="CH112" s="29">
        <v>0.44480566414903017</v>
      </c>
      <c r="CI112" s="28">
        <v>76.452679009057093</v>
      </c>
      <c r="CJ112" s="29">
        <v>0.42746275196358002</v>
      </c>
      <c r="CK112" s="28">
        <v>76.477650646225442</v>
      </c>
      <c r="CL112" s="29">
        <v>0.41032785016874379</v>
      </c>
      <c r="CM112" s="28">
        <v>76.502630439846541</v>
      </c>
      <c r="CN112" s="29">
        <v>0.39340893732809568</v>
      </c>
      <c r="CO112" s="28">
        <v>76.527618392584472</v>
      </c>
      <c r="CP112" s="29">
        <v>0.37671424106641954</v>
      </c>
      <c r="CQ112" s="28">
        <v>76.552614507104281</v>
      </c>
      <c r="CR112" s="29">
        <v>0.36025224160795888</v>
      </c>
      <c r="CS112" s="28">
        <v>76.577618786071824</v>
      </c>
      <c r="CT112" s="29">
        <v>0.34403167456345363</v>
      </c>
      <c r="CU112" s="28">
        <v>76.602631232153882</v>
      </c>
      <c r="CV112" s="29">
        <v>0.32806153280496264</v>
      </c>
      <c r="CW112" s="28">
        <v>76.627651848018019</v>
      </c>
      <c r="CX112" s="29">
        <v>0.31235106724195394</v>
      </c>
      <c r="CY112" s="28">
        <v>76.652680636332718</v>
      </c>
      <c r="CZ112" s="29">
        <v>0.29690978628290493</v>
      </c>
      <c r="DA112" s="28">
        <v>76.677717599767377</v>
      </c>
      <c r="DB112" s="29">
        <v>0.28174745373273885</v>
      </c>
      <c r="DC112" s="28">
        <v>76.702762740992213</v>
      </c>
      <c r="DD112" s="29">
        <v>0.2668740848383323</v>
      </c>
      <c r="DE112" s="28">
        <v>76.727816062678286</v>
      </c>
      <c r="DF112" s="29">
        <v>0.25229994014993989</v>
      </c>
      <c r="DG112" s="28">
        <v>76.752877567497649</v>
      </c>
      <c r="DH112" s="29">
        <v>0.23803551681637064</v>
      </c>
      <c r="DI112" s="28">
        <v>76.777947258123064</v>
      </c>
      <c r="DJ112" s="29">
        <v>0.22409153687434211</v>
      </c>
      <c r="DK112" s="28">
        <v>76.803025137228275</v>
      </c>
      <c r="DL112" s="29">
        <v>0.2104789320275077</v>
      </c>
      <c r="DM112" s="28">
        <v>76.828111207487908</v>
      </c>
      <c r="DN112" s="29">
        <v>0.19720882433673628</v>
      </c>
      <c r="DO112" s="28">
        <v>76.853205471577411</v>
      </c>
      <c r="DP112" s="29">
        <v>0.18429250216017024</v>
      </c>
      <c r="DQ112" s="28">
        <v>76.878307932173087</v>
      </c>
      <c r="DR112" s="29">
        <v>0.1717413905878655</v>
      </c>
      <c r="DS112" s="28">
        <v>76.903418591952189</v>
      </c>
      <c r="DT112" s="29">
        <v>0.159567015511175</v>
      </c>
      <c r="DU112" s="28">
        <v>76.92853745359281</v>
      </c>
      <c r="DV112" s="29">
        <v>0.14778096035103452</v>
      </c>
      <c r="DW112" s="28">
        <v>76.953664519773895</v>
      </c>
      <c r="DX112" s="29">
        <v>0.13639481434136444</v>
      </c>
      <c r="DY112" s="28">
        <v>76.978799793175298</v>
      </c>
      <c r="DZ112" s="29">
        <v>0.12542011112492271</v>
      </c>
      <c r="EA112" s="28">
        <v>77.003943276477727</v>
      </c>
      <c r="EB112" s="29">
        <v>0.11486825627013103</v>
      </c>
      <c r="EC112" s="28">
        <v>77.029094972362756</v>
      </c>
      <c r="ED112" s="29">
        <v>0.10475044216119839</v>
      </c>
      <c r="EE112" s="28">
        <v>77.054254883512883</v>
      </c>
      <c r="EF112" s="29">
        <v>9.5077548555276073E-2</v>
      </c>
      <c r="EG112" s="28">
        <v>77.079423012611372</v>
      </c>
      <c r="EH112" s="29">
        <v>8.5860026945936835E-2</v>
      </c>
      <c r="EI112" s="28">
        <v>77.10459936234254</v>
      </c>
      <c r="EJ112" s="29">
        <v>7.7107766733478605E-2</v>
      </c>
      <c r="EK112" s="28">
        <v>77.12978393539143</v>
      </c>
      <c r="EL112" s="29">
        <v>6.8829941095473607E-2</v>
      </c>
      <c r="EM112" s="28">
        <v>77.15497673444402</v>
      </c>
      <c r="EN112" s="29">
        <v>6.1034830398958913E-2</v>
      </c>
      <c r="EO112" s="28">
        <v>77.180177762187142</v>
      </c>
      <c r="EP112" s="29">
        <v>5.3729621032259221E-2</v>
      </c>
      <c r="EQ112" s="28">
        <v>77.205387021308567</v>
      </c>
      <c r="ER112" s="29">
        <v>4.6920177706112842E-2</v>
      </c>
      <c r="ES112" s="28">
        <v>77.230604514496846</v>
      </c>
      <c r="ET112" s="29">
        <v>4.0610787644431642E-2</v>
      </c>
      <c r="EU112" s="28">
        <v>77.255830244441512</v>
      </c>
      <c r="EV112" s="29">
        <v>3.4803875741902551E-2</v>
      </c>
      <c r="EW112" s="28">
        <v>77.281064213832877</v>
      </c>
      <c r="EX112" s="29">
        <v>2.9499690824218942E-2</v>
      </c>
      <c r="EY112" s="28">
        <v>77.306306425362223</v>
      </c>
      <c r="EZ112" s="29">
        <v>2.4695964759055722E-2</v>
      </c>
      <c r="FA112" s="28">
        <v>77.331556881721639</v>
      </c>
      <c r="FB112" s="29">
        <v>2.0387548525015377E-2</v>
      </c>
      <c r="FC112" s="28">
        <v>77.356815585604139</v>
      </c>
      <c r="FD112" s="29">
        <v>1.6566032691226543E-2</v>
      </c>
      <c r="FE112" s="28">
        <v>77.382082539703589</v>
      </c>
      <c r="FF112" s="29">
        <v>1.3219364372725733E-2</v>
      </c>
      <c r="FG112" s="28">
        <v>77.407357746714752</v>
      </c>
      <c r="FH112" s="29">
        <v>1.0331478911836788E-2</v>
      </c>
      <c r="FI112" s="28">
        <v>77.432641209333269</v>
      </c>
      <c r="FJ112" s="29">
        <v>7.881972577768015E-3</v>
      </c>
      <c r="FK112" s="28">
        <v>77.457932930255637</v>
      </c>
      <c r="FL112" s="29">
        <v>5.845852644850171E-3</v>
      </c>
      <c r="FM112" s="28">
        <v>77.483232912179318</v>
      </c>
      <c r="FN112" s="29">
        <v>4.1934131841752384E-3</v>
      </c>
      <c r="FO112" s="28">
        <v>77.508541157802512</v>
      </c>
      <c r="FP112" s="29">
        <v>2.8902980726666513E-3</v>
      </c>
      <c r="FQ112" s="28">
        <v>77.533857669824442</v>
      </c>
      <c r="FR112" s="29">
        <v>1.8978253039943357E-3</v>
      </c>
      <c r="FS112" s="28">
        <v>77.559182450945102</v>
      </c>
      <c r="FT112" s="29">
        <v>1.1736551113609062E-3</v>
      </c>
      <c r="FU112" s="28">
        <v>77.584515503865447</v>
      </c>
      <c r="FV112" s="29">
        <v>6.7288241858824119E-4</v>
      </c>
      <c r="FW112" s="28">
        <v>77.609856831287274</v>
      </c>
      <c r="FX112" s="29">
        <v>3.4961184799633645E-4</v>
      </c>
      <c r="FY112" s="28">
        <v>77.635206435913261</v>
      </c>
      <c r="FZ112" s="29">
        <v>1.5901720685737152E-4</v>
      </c>
      <c r="GA112" s="28">
        <v>77.660564320447008</v>
      </c>
      <c r="GB112" s="29">
        <v>5.9781488896381396E-5</v>
      </c>
      <c r="GC112" s="28">
        <v>77.685930487592955</v>
      </c>
      <c r="GD112" s="29">
        <v>1.6647913507590486E-5</v>
      </c>
      <c r="GE112" s="28">
        <v>77.711304940056422</v>
      </c>
      <c r="GF112" s="29">
        <v>2.6003030627056337E-6</v>
      </c>
      <c r="GG112" s="28">
        <v>77.736687680543668</v>
      </c>
      <c r="GH112" s="29">
        <v>0</v>
      </c>
      <c r="GI112" s="28">
        <v>77.762078711761802</v>
      </c>
      <c r="GJ112" s="29">
        <v>0</v>
      </c>
      <c r="GK112" s="28">
        <v>77.787478036418747</v>
      </c>
      <c r="GL112" s="29">
        <v>0</v>
      </c>
      <c r="GM112" s="28">
        <v>77.812885657223461</v>
      </c>
      <c r="GN112" s="29">
        <v>0</v>
      </c>
      <c r="GO112" s="28">
        <v>77.838301576885655</v>
      </c>
      <c r="GP112" s="29">
        <v>0</v>
      </c>
      <c r="GQ112" s="28">
        <v>77.863725798115993</v>
      </c>
      <c r="GR112" s="29">
        <v>0</v>
      </c>
      <c r="GS112" s="28">
        <v>77.889158323625992</v>
      </c>
      <c r="GT112" s="29">
        <v>0</v>
      </c>
    </row>
    <row r="113" spans="17:202" x14ac:dyDescent="0.25">
      <c r="Q113" s="28">
        <v>72.343168934944103</v>
      </c>
      <c r="R113" s="29">
        <v>0.74072138867659743</v>
      </c>
      <c r="S113" s="28">
        <v>72.366798288286162</v>
      </c>
      <c r="T113" s="29">
        <v>0.72448391635871157</v>
      </c>
      <c r="U113" s="28">
        <v>72.390435359652571</v>
      </c>
      <c r="V113" s="29">
        <v>0.70829348136630732</v>
      </c>
      <c r="W113" s="28">
        <v>72.414080151564249</v>
      </c>
      <c r="X113" s="29">
        <v>0.69218172510768883</v>
      </c>
      <c r="Y113" s="28">
        <v>72.437732666542942</v>
      </c>
      <c r="Z113" s="29">
        <v>0.67615476289586107</v>
      </c>
      <c r="AA113" s="28">
        <v>72.461392907111261</v>
      </c>
      <c r="AB113" s="29">
        <v>0.66021575328264537</v>
      </c>
      <c r="AC113" s="28">
        <v>72.485060875792584</v>
      </c>
      <c r="AD113" s="29">
        <v>0.64436759165001978</v>
      </c>
      <c r="AE113" s="28">
        <v>72.508736575111115</v>
      </c>
      <c r="AF113" s="29">
        <v>0.6286132087606654</v>
      </c>
      <c r="AG113" s="28">
        <v>72.532420007591952</v>
      </c>
      <c r="AH113" s="29">
        <v>0.6129556020599749</v>
      </c>
      <c r="AI113" s="28">
        <v>72.556111175760904</v>
      </c>
      <c r="AJ113" s="29">
        <v>0.59739784191059064</v>
      </c>
      <c r="AK113" s="28">
        <v>72.579810082144718</v>
      </c>
      <c r="AL113" s="29">
        <v>0.58194307627519648</v>
      </c>
      <c r="AM113" s="28">
        <v>72.603516729270879</v>
      </c>
      <c r="AN113" s="29">
        <v>0.56659453297717899</v>
      </c>
      <c r="AO113" s="28">
        <v>72.627231119667769</v>
      </c>
      <c r="AP113" s="29">
        <v>0.55135552167631718</v>
      </c>
      <c r="AQ113" s="28">
        <v>72.65095325586455</v>
      </c>
      <c r="AR113" s="29">
        <v>0.53622943561021164</v>
      </c>
      <c r="AS113" s="28">
        <v>72.674683140391238</v>
      </c>
      <c r="AT113" s="29">
        <v>0.52121975327774595</v>
      </c>
      <c r="AU113" s="28">
        <v>72.698420775778615</v>
      </c>
      <c r="AV113" s="29">
        <v>0.50633004006970939</v>
      </c>
      <c r="AW113" s="28">
        <v>72.722166164558374</v>
      </c>
      <c r="AX113" s="29">
        <v>0.49156394985062907</v>
      </c>
      <c r="AY113" s="28">
        <v>72.745919309262987</v>
      </c>
      <c r="AZ113" s="29">
        <v>0.47692522648158187</v>
      </c>
      <c r="BA113" s="28">
        <v>72.769680212425769</v>
      </c>
      <c r="BB113" s="29">
        <v>0.46241770527161769</v>
      </c>
      <c r="BC113" s="28">
        <v>72.793448876580811</v>
      </c>
      <c r="BD113" s="29">
        <v>0.44804531434287653</v>
      </c>
      <c r="BE113" s="28">
        <v>72.817225304263133</v>
      </c>
      <c r="BF113" s="29">
        <v>0.43381207589244647</v>
      </c>
      <c r="BG113" s="28">
        <v>72.841009498008503</v>
      </c>
      <c r="BH113" s="29">
        <v>0.41972210733194404</v>
      </c>
      <c r="BI113" s="28">
        <v>72.864801460353547</v>
      </c>
      <c r="BJ113" s="29">
        <v>0.40577962228341696</v>
      </c>
      <c r="BK113" s="28">
        <v>72.888601193835683</v>
      </c>
      <c r="BL113" s="29">
        <v>0.39198893140760183</v>
      </c>
      <c r="BM113" s="28">
        <v>72.912408700993211</v>
      </c>
      <c r="BN113" s="29">
        <v>0.37835444303763638</v>
      </c>
      <c r="BO113" s="28">
        <v>72.936223984365228</v>
      </c>
      <c r="BP113" s="29">
        <v>0.36488066358822374</v>
      </c>
      <c r="BQ113" s="28">
        <v>72.960047046491695</v>
      </c>
      <c r="BR113" s="29">
        <v>0.35157219770650605</v>
      </c>
      <c r="BS113" s="28">
        <v>72.983877889913359</v>
      </c>
      <c r="BT113" s="29">
        <v>0.33843374812719001</v>
      </c>
      <c r="BU113" s="28">
        <v>73.007716517171772</v>
      </c>
      <c r="BV113" s="29">
        <v>0.3254701151898528</v>
      </c>
      <c r="BW113" s="28">
        <v>73.031562930809415</v>
      </c>
      <c r="BX113" s="29">
        <v>0.31268619597167185</v>
      </c>
      <c r="BY113" s="28">
        <v>73.055417133369517</v>
      </c>
      <c r="BZ113" s="29">
        <v>0.3000869829832235</v>
      </c>
      <c r="CA113" s="28">
        <v>73.079279127396163</v>
      </c>
      <c r="CB113" s="29">
        <v>0.28767756236931141</v>
      </c>
      <c r="CC113" s="28">
        <v>73.103148915434303</v>
      </c>
      <c r="CD113" s="29">
        <v>0.27546311154988501</v>
      </c>
      <c r="CE113" s="28">
        <v>73.127026500029643</v>
      </c>
      <c r="CF113" s="29">
        <v>0.26344889622897483</v>
      </c>
      <c r="CG113" s="28">
        <v>73.150911883728782</v>
      </c>
      <c r="CH113" s="29">
        <v>0.25164026669152939</v>
      </c>
      <c r="CI113" s="28">
        <v>73.174805069079127</v>
      </c>
      <c r="CJ113" s="29">
        <v>0.24004265329907587</v>
      </c>
      <c r="CK113" s="28">
        <v>73.198706058628929</v>
      </c>
      <c r="CL113" s="29">
        <v>0.2286615610854395</v>
      </c>
      <c r="CM113" s="28">
        <v>73.222614854927272</v>
      </c>
      <c r="CN113" s="29">
        <v>0.21750256334304024</v>
      </c>
      <c r="CO113" s="28">
        <v>73.246531460523997</v>
      </c>
      <c r="CP113" s="29">
        <v>0.20657129407854491</v>
      </c>
      <c r="CQ113" s="28">
        <v>73.270455877969923</v>
      </c>
      <c r="CR113" s="29">
        <v>0.19587343920392294</v>
      </c>
      <c r="CS113" s="28">
        <v>73.29438810981658</v>
      </c>
      <c r="CT113" s="29">
        <v>0.18541472631498029</v>
      </c>
      <c r="CU113" s="28">
        <v>73.318328158616424</v>
      </c>
      <c r="CV113" s="29">
        <v>0.17520091289444314</v>
      </c>
      <c r="CW113" s="28">
        <v>73.342276026922633</v>
      </c>
      <c r="CX113" s="29">
        <v>0.1652377727604025</v>
      </c>
      <c r="CY113" s="28">
        <v>73.36623171728931</v>
      </c>
      <c r="CZ113" s="29">
        <v>0.15553108056360687</v>
      </c>
      <c r="DA113" s="28">
        <v>73.390195232271381</v>
      </c>
      <c r="DB113" s="29">
        <v>0.14608659411857139</v>
      </c>
      <c r="DC113" s="28">
        <v>73.41416657442457</v>
      </c>
      <c r="DD113" s="29">
        <v>0.13691003433406246</v>
      </c>
      <c r="DE113" s="28">
        <v>73.438145746305452</v>
      </c>
      <c r="DF113" s="29">
        <v>0.12800706248832119</v>
      </c>
      <c r="DG113" s="28">
        <v>73.462132750471483</v>
      </c>
      <c r="DH113" s="29">
        <v>0.11938325457372088</v>
      </c>
      <c r="DI113" s="28">
        <v>73.486127589480844</v>
      </c>
      <c r="DJ113" s="29">
        <v>0.11104407241474079</v>
      </c>
      <c r="DK113" s="28">
        <v>73.510130265892641</v>
      </c>
      <c r="DL113" s="29">
        <v>0.10299483124311162</v>
      </c>
      <c r="DM113" s="28">
        <v>73.534140782266846</v>
      </c>
      <c r="DN113" s="29">
        <v>9.5240663395201111E-2</v>
      </c>
      <c r="DO113" s="28">
        <v>73.558159141164168</v>
      </c>
      <c r="DP113" s="29">
        <v>8.7786477780553207E-2</v>
      </c>
      <c r="DQ113" s="28">
        <v>73.582185345146172</v>
      </c>
      <c r="DR113" s="29">
        <v>8.063691475849312E-2</v>
      </c>
      <c r="DS113" s="28">
        <v>73.606219396775344</v>
      </c>
      <c r="DT113" s="29">
        <v>7.3796296053800378E-2</v>
      </c>
      <c r="DU113" s="28">
        <v>73.63026129861494</v>
      </c>
      <c r="DV113" s="29">
        <v>6.7268569345231344E-2</v>
      </c>
      <c r="DW113" s="28">
        <v>73.654311053229037</v>
      </c>
      <c r="DX113" s="29">
        <v>6.1057247175876357E-2</v>
      </c>
      <c r="DY113" s="28">
        <v>73.67836866318261</v>
      </c>
      <c r="DZ113" s="29">
        <v>5.5165339865794194E-2</v>
      </c>
      <c r="EA113" s="28">
        <v>73.702434131041429</v>
      </c>
      <c r="EB113" s="29">
        <v>4.9595282161251052E-2</v>
      </c>
      <c r="EC113" s="28">
        <v>73.726507459372087</v>
      </c>
      <c r="ED113" s="29">
        <v>4.43488534379049E-2</v>
      </c>
      <c r="EE113" s="28">
        <v>73.750588650742088</v>
      </c>
      <c r="EF113" s="29">
        <v>3.9427091396252743E-2</v>
      </c>
      <c r="EG113" s="28">
        <v>73.774677707719633</v>
      </c>
      <c r="EH113" s="29">
        <v>3.4830199357713407E-2</v>
      </c>
      <c r="EI113" s="28">
        <v>73.798774632873958</v>
      </c>
      <c r="EJ113" s="29">
        <v>3.0557447501952058E-2</v>
      </c>
      <c r="EK113" s="28">
        <v>73.822879428774996</v>
      </c>
      <c r="EL113" s="29">
        <v>2.6607068696715776E-2</v>
      </c>
      <c r="EM113" s="28">
        <v>73.846992097993549</v>
      </c>
      <c r="EN113" s="29">
        <v>2.2976149979313458E-2</v>
      </c>
      <c r="EO113" s="28">
        <v>73.871112643101256</v>
      </c>
      <c r="EP113" s="29">
        <v>1.966052127592061E-2</v>
      </c>
      <c r="EQ113" s="28">
        <v>73.895241066670664</v>
      </c>
      <c r="ER113" s="29">
        <v>1.6654643615009034E-2</v>
      </c>
      <c r="ES113" s="28">
        <v>73.919377371275047</v>
      </c>
      <c r="ET113" s="29">
        <v>1.3951499929873256E-2</v>
      </c>
      <c r="EU113" s="28">
        <v>73.943521559488616</v>
      </c>
      <c r="EV113" s="29">
        <v>1.1542492576090746E-2</v>
      </c>
      <c r="EW113" s="28">
        <v>73.967673633886335</v>
      </c>
      <c r="EX113" s="29">
        <v>9.417352931170719E-3</v>
      </c>
      <c r="EY113" s="28">
        <v>73.991833597044121</v>
      </c>
      <c r="EZ113" s="29">
        <v>7.5640699007541229E-3</v>
      </c>
      <c r="FA113" s="28">
        <v>74.016001451538614</v>
      </c>
      <c r="FB113" s="29">
        <v>5.9688458096620626E-3</v>
      </c>
      <c r="FC113" s="28">
        <v>74.040177199947379</v>
      </c>
      <c r="FD113" s="29">
        <v>4.6160899462291674E-3</v>
      </c>
      <c r="FE113" s="28">
        <v>74.064360844848792</v>
      </c>
      <c r="FF113" s="29">
        <v>3.488461827833792E-3</v>
      </c>
      <c r="FG113" s="28">
        <v>74.08855238882208</v>
      </c>
      <c r="FH113" s="29">
        <v>2.5669778365376354E-3</v>
      </c>
      <c r="FI113" s="28">
        <v>74.11275183444728</v>
      </c>
      <c r="FJ113" s="29">
        <v>1.8311958631339472E-3</v>
      </c>
      <c r="FK113" s="28">
        <v>74.136959184305312</v>
      </c>
      <c r="FL113" s="29">
        <v>1.2594924255066233E-3</v>
      </c>
      <c r="FM113" s="28">
        <v>74.161174440977973</v>
      </c>
      <c r="FN113" s="29">
        <v>8.2944457638793264E-4</v>
      </c>
      <c r="FO113" s="28">
        <v>74.185397607047776</v>
      </c>
      <c r="FP113" s="29">
        <v>5.1832370002338345E-4</v>
      </c>
      <c r="FQ113" s="28">
        <v>74.20962868509821</v>
      </c>
      <c r="FR113" s="29">
        <v>3.0369871115681652E-4</v>
      </c>
      <c r="FS113" s="28">
        <v>74.233867677713519</v>
      </c>
      <c r="FT113" s="29">
        <v>1.6413089704035553E-4</v>
      </c>
      <c r="FU113" s="28">
        <v>74.258114587478858</v>
      </c>
      <c r="FV113" s="29">
        <v>7.9920858366300842E-5</v>
      </c>
      <c r="FW113" s="28">
        <v>74.282369416980188</v>
      </c>
      <c r="FX113" s="29">
        <v>3.3840340319333459E-5</v>
      </c>
      <c r="FY113" s="28">
        <v>74.306632168804285</v>
      </c>
      <c r="FZ113" s="29">
        <v>1.1751870510927341E-5</v>
      </c>
      <c r="GA113" s="28">
        <v>74.330902845538873</v>
      </c>
      <c r="GB113" s="29">
        <v>2.9958475626615418E-6</v>
      </c>
      <c r="GC113" s="28">
        <v>74.355181449772402</v>
      </c>
      <c r="GD113" s="29">
        <v>4.2381916229952908E-7</v>
      </c>
      <c r="GE113" s="28">
        <v>74.379467984094219</v>
      </c>
      <c r="GF113" s="29">
        <v>0</v>
      </c>
      <c r="GG113" s="28">
        <v>74.403762451094565</v>
      </c>
      <c r="GH113" s="29">
        <v>0</v>
      </c>
      <c r="GI113" s="28">
        <v>74.428064853364475</v>
      </c>
      <c r="GJ113" s="29">
        <v>0</v>
      </c>
      <c r="GK113" s="28">
        <v>74.452375193495755</v>
      </c>
      <c r="GL113" s="29">
        <v>0</v>
      </c>
      <c r="GM113" s="28">
        <v>74.47669347408123</v>
      </c>
      <c r="GN113" s="29">
        <v>0</v>
      </c>
      <c r="GO113" s="28">
        <v>74.501019697714455</v>
      </c>
      <c r="GP113" s="29">
        <v>0</v>
      </c>
      <c r="GQ113" s="28">
        <v>74.525353866989832</v>
      </c>
      <c r="GR113" s="29">
        <v>0</v>
      </c>
      <c r="GS113" s="28">
        <v>74.549695984502662</v>
      </c>
      <c r="GT113" s="29">
        <v>0</v>
      </c>
    </row>
    <row r="114" spans="17:202" x14ac:dyDescent="0.25">
      <c r="S114" s="28">
        <v>69.264104631197782</v>
      </c>
      <c r="T114" s="29">
        <v>0.46757504486865176</v>
      </c>
      <c r="U114" s="28">
        <v>69.28672827384915</v>
      </c>
      <c r="V114" s="29">
        <v>0.45572809848965989</v>
      </c>
      <c r="W114" s="28">
        <v>69.309359306030913</v>
      </c>
      <c r="X114" s="29">
        <v>0.4438019236364148</v>
      </c>
      <c r="Y114" s="28">
        <v>69.331997730156701</v>
      </c>
      <c r="Z114" s="29">
        <v>0.43195576130600521</v>
      </c>
      <c r="AA114" s="28">
        <v>69.354643548640951</v>
      </c>
      <c r="AB114" s="29">
        <v>0.42021049901296048</v>
      </c>
      <c r="AC114" s="28">
        <v>69.377296763898883</v>
      </c>
      <c r="AD114" s="29">
        <v>0.40857060985788635</v>
      </c>
      <c r="AE114" s="28">
        <v>69.399957378346443</v>
      </c>
      <c r="AF114" s="29">
        <v>0.39703879318617119</v>
      </c>
      <c r="AG114" s="28">
        <v>69.422625394400484</v>
      </c>
      <c r="AH114" s="29">
        <v>0.38561760089956681</v>
      </c>
      <c r="AI114" s="28">
        <v>69.445300814478529</v>
      </c>
      <c r="AJ114" s="29">
        <v>0.37430959292089772</v>
      </c>
      <c r="AK114" s="28">
        <v>69.46798364099898</v>
      </c>
      <c r="AL114" s="29">
        <v>0.36311735184929478</v>
      </c>
      <c r="AM114" s="28">
        <v>69.490673876380953</v>
      </c>
      <c r="AN114" s="29">
        <v>0.35204349792992506</v>
      </c>
      <c r="AO114" s="28">
        <v>69.513371523044441</v>
      </c>
      <c r="AP114" s="29">
        <v>0.34109069083052912</v>
      </c>
      <c r="AQ114" s="28">
        <v>69.53607658341015</v>
      </c>
      <c r="AR114" s="29">
        <v>0.33026163053990848</v>
      </c>
      <c r="AS114" s="28">
        <v>69.558789059899652</v>
      </c>
      <c r="AT114" s="29">
        <v>0.31955905699071963</v>
      </c>
      <c r="AU114" s="28">
        <v>69.581508954935202</v>
      </c>
      <c r="AV114" s="29">
        <v>0.30898574941732077</v>
      </c>
      <c r="AW114" s="28">
        <v>69.60423627093995</v>
      </c>
      <c r="AX114" s="29">
        <v>0.29854452546103022</v>
      </c>
      <c r="AY114" s="28">
        <v>69.626971010337783</v>
      </c>
      <c r="AZ114" s="29">
        <v>0.2882382400857591</v>
      </c>
      <c r="BA114" s="28">
        <v>69.649713175553416</v>
      </c>
      <c r="BB114" s="29">
        <v>0.27806978429228102</v>
      </c>
      <c r="BC114" s="28">
        <v>69.672462769012299</v>
      </c>
      <c r="BD114" s="29">
        <v>0.26804208361774223</v>
      </c>
      <c r="BE114" s="28">
        <v>69.695219793140737</v>
      </c>
      <c r="BF114" s="29">
        <v>0.25815809640038018</v>
      </c>
      <c r="BG114" s="28">
        <v>69.717984250365788</v>
      </c>
      <c r="BH114" s="29">
        <v>0.24842081178758185</v>
      </c>
      <c r="BI114" s="28">
        <v>69.740756143115334</v>
      </c>
      <c r="BJ114" s="29">
        <v>0.23883324746312576</v>
      </c>
      <c r="BK114" s="28">
        <v>69.763535473817981</v>
      </c>
      <c r="BL114" s="29">
        <v>0.22939844706750262</v>
      </c>
      <c r="BM114" s="28">
        <v>69.786322244903232</v>
      </c>
      <c r="BN114" s="29">
        <v>0.22011947728306014</v>
      </c>
      <c r="BO114" s="28">
        <v>69.809116458801284</v>
      </c>
      <c r="BP114" s="29">
        <v>0.21099942455335047</v>
      </c>
      <c r="BQ114" s="28">
        <v>69.831918117943232</v>
      </c>
      <c r="BR114" s="29">
        <v>0.20204139140371205</v>
      </c>
      <c r="BS114" s="28">
        <v>69.854727224760865</v>
      </c>
      <c r="BT114" s="29">
        <v>0.19324849232744704</v>
      </c>
      <c r="BU114" s="28">
        <v>69.877543781686782</v>
      </c>
      <c r="BV114" s="29">
        <v>0.18462384919926672</v>
      </c>
      <c r="BW114" s="28">
        <v>69.900367791154451</v>
      </c>
      <c r="BX114" s="29">
        <v>0.17617058617475959</v>
      </c>
      <c r="BY114" s="28">
        <v>69.92319925559805</v>
      </c>
      <c r="BZ114" s="29">
        <v>0.16789182403161645</v>
      </c>
      <c r="CA114" s="28">
        <v>69.946038177452607</v>
      </c>
      <c r="CB114" s="29">
        <v>0.15979067390516954</v>
      </c>
      <c r="CC114" s="28">
        <v>69.968884559153949</v>
      </c>
      <c r="CD114" s="29">
        <v>0.15187023036754471</v>
      </c>
      <c r="CE114" s="28">
        <v>69.99173840313864</v>
      </c>
      <c r="CF114" s="29">
        <v>0.14413356379636799</v>
      </c>
      <c r="CG114" s="28">
        <v>70.014599711844085</v>
      </c>
      <c r="CH114" s="29">
        <v>0.13658371197552724</v>
      </c>
      <c r="CI114" s="28">
        <v>70.037468487708495</v>
      </c>
      <c r="CJ114" s="29">
        <v>0.12922367086706979</v>
      </c>
      <c r="CK114" s="28">
        <v>70.060344733170837</v>
      </c>
      <c r="CL114" s="29">
        <v>0.12205638448998667</v>
      </c>
      <c r="CM114" s="28">
        <v>70.083228450670916</v>
      </c>
      <c r="CN114" s="29">
        <v>0.11508473383835129</v>
      </c>
      <c r="CO114" s="28">
        <v>70.106119642649247</v>
      </c>
      <c r="CP114" s="29">
        <v>0.10831152476825696</v>
      </c>
      <c r="CQ114" s="28">
        <v>70.129018311547298</v>
      </c>
      <c r="CR114" s="29">
        <v>0.10173947478043568</v>
      </c>
      <c r="CS114" s="28">
        <v>70.151924459807177</v>
      </c>
      <c r="CT114" s="29">
        <v>9.5371198623182871E-2</v>
      </c>
      <c r="CU114" s="28">
        <v>70.17483808987194</v>
      </c>
      <c r="CV114" s="29">
        <v>8.9209192638874557E-2</v>
      </c>
      <c r="CW114" s="28">
        <v>70.19775920418526</v>
      </c>
      <c r="CX114" s="29">
        <v>8.3255817776863125E-2</v>
      </c>
      <c r="CY114" s="28">
        <v>70.220687805191758</v>
      </c>
      <c r="CZ114" s="29">
        <v>7.7513281196335632E-2</v>
      </c>
      <c r="DA114" s="28">
        <v>70.243623895336825</v>
      </c>
      <c r="DB114" s="29">
        <v>7.1983616385102173E-2</v>
      </c>
      <c r="DC114" s="28">
        <v>70.266567477066587</v>
      </c>
      <c r="DD114" s="29">
        <v>6.6668661724810896E-2</v>
      </c>
      <c r="DE114" s="28">
        <v>70.289518552828028</v>
      </c>
      <c r="DF114" s="29">
        <v>6.1570037440153089E-2</v>
      </c>
      <c r="DG114" s="28">
        <v>70.312477125068938</v>
      </c>
      <c r="DH114" s="29">
        <v>5.6689120880009984E-2</v>
      </c>
      <c r="DI114" s="28">
        <v>70.335443196237819</v>
      </c>
      <c r="DJ114" s="29">
        <v>5.2027020092902457E-2</v>
      </c>
      <c r="DK114" s="28">
        <v>70.358416768784068</v>
      </c>
      <c r="DL114" s="29">
        <v>4.7584545678574779E-2</v>
      </c>
      <c r="DM114" s="28">
        <v>70.381397845157878</v>
      </c>
      <c r="DN114" s="29">
        <v>4.3362180923009072E-2</v>
      </c>
      <c r="DO114" s="28">
        <v>70.404386427810195</v>
      </c>
      <c r="DP114" s="29">
        <v>3.9360050257157532E-2</v>
      </c>
      <c r="DQ114" s="28">
        <v>70.427382519192747</v>
      </c>
      <c r="DR114" s="29">
        <v>3.5577886121539663E-2</v>
      </c>
      <c r="DS114" s="28">
        <v>70.450386121758157</v>
      </c>
      <c r="DT114" s="29">
        <v>3.2014994371411483E-2</v>
      </c>
      <c r="DU114" s="28">
        <v>70.473397237959773</v>
      </c>
      <c r="DV114" s="29">
        <v>2.867021842249514E-2</v>
      </c>
      <c r="DW114" s="28">
        <v>70.496415870251752</v>
      </c>
      <c r="DX114" s="29">
        <v>2.5541902417453567E-2</v>
      </c>
      <c r="DY114" s="28">
        <v>70.519442021089077</v>
      </c>
      <c r="DZ114" s="29">
        <v>2.2627853790933794E-2</v>
      </c>
      <c r="EA114" s="28">
        <v>70.542475692927525</v>
      </c>
      <c r="EB114" s="29">
        <v>1.9925305728652164E-2</v>
      </c>
      <c r="EC114" s="28">
        <v>70.565516888223655</v>
      </c>
      <c r="ED114" s="29">
        <v>1.7430880156439166E-2</v>
      </c>
      <c r="EE114" s="28">
        <v>70.58856560943488</v>
      </c>
      <c r="EF114" s="29">
        <v>1.5140552060850429E-2</v>
      </c>
      <c r="EG114" s="28">
        <v>70.611621859019294</v>
      </c>
      <c r="EH114" s="29">
        <v>1.3049616136262352E-2</v>
      </c>
      <c r="EI114" s="28">
        <v>70.634685639435972</v>
      </c>
      <c r="EJ114" s="29">
        <v>1.1152656975479642E-2</v>
      </c>
      <c r="EK114" s="28">
        <v>70.657756953144684</v>
      </c>
      <c r="EL114" s="29">
        <v>9.4435242718934331E-3</v>
      </c>
      <c r="EM114" s="28">
        <v>70.680835802605969</v>
      </c>
      <c r="EN114" s="29">
        <v>7.9153147787473684E-3</v>
      </c>
      <c r="EO114" s="28">
        <v>70.703922190281247</v>
      </c>
      <c r="EP114" s="29">
        <v>6.5603630692079098E-3</v>
      </c>
      <c r="EQ114" s="28">
        <v>70.727016118632747</v>
      </c>
      <c r="ER114" s="29">
        <v>5.3702434486695609E-3</v>
      </c>
      <c r="ES114" s="28">
        <v>70.750117590123423</v>
      </c>
      <c r="ET114" s="29">
        <v>4.3357856697074839E-3</v>
      </c>
      <c r="EU114" s="28">
        <v>70.773226607217126</v>
      </c>
      <c r="EV114" s="29">
        <v>3.4471073618054927E-3</v>
      </c>
      <c r="EW114" s="28">
        <v>70.7963431723784</v>
      </c>
      <c r="EX114" s="29">
        <v>2.693666270638584E-3</v>
      </c>
      <c r="EY114" s="28">
        <v>70.81946728807273</v>
      </c>
      <c r="EZ114" s="29">
        <v>2.0643354462136923E-3</v>
      </c>
      <c r="FA114" s="28">
        <v>70.842598956766281</v>
      </c>
      <c r="FB114" s="29">
        <v>1.5475043457060906E-3</v>
      </c>
      <c r="FC114" s="28">
        <v>70.86573818092613</v>
      </c>
      <c r="FD114" s="29">
        <v>1.1312083217503419E-3</v>
      </c>
      <c r="FE114" s="28">
        <v>70.888884963020061</v>
      </c>
      <c r="FF114" s="29">
        <v>8.0328802272674148E-4</v>
      </c>
      <c r="FG114" s="28">
        <v>70.912039305516757</v>
      </c>
      <c r="FH114" s="29">
        <v>5.5157869195091806E-4</v>
      </c>
      <c r="FI114" s="28">
        <v>70.935201210885623</v>
      </c>
      <c r="FJ114" s="29">
        <v>3.6412706783644513E-4</v>
      </c>
      <c r="FK114" s="28">
        <v>70.958370681596918</v>
      </c>
      <c r="FL114" s="29">
        <v>2.2943043521814785E-4</v>
      </c>
      <c r="FM114" s="28">
        <v>70.981547720121753</v>
      </c>
      <c r="FN114" s="29">
        <v>1.3668832154605607E-4</v>
      </c>
      <c r="FO114" s="28">
        <v>71.004732328931908</v>
      </c>
      <c r="FP114" s="29">
        <v>7.6052506863162942E-5</v>
      </c>
      <c r="FQ114" s="28">
        <v>71.027924510500114</v>
      </c>
      <c r="FR114" s="29">
        <v>3.8855861086591733E-5</v>
      </c>
      <c r="FS114" s="28">
        <v>71.051124267299826</v>
      </c>
      <c r="FT114" s="29">
        <v>1.7795931687696917E-5</v>
      </c>
      <c r="FU114" s="28">
        <v>71.074331601805341</v>
      </c>
      <c r="FV114" s="29">
        <v>7.0466769656073582E-6</v>
      </c>
      <c r="FW114" s="28">
        <v>71.097546516491761</v>
      </c>
      <c r="FX114" s="29">
        <v>2.2734049099680803E-6</v>
      </c>
      <c r="FY114" s="28">
        <v>71.120769013834959</v>
      </c>
      <c r="FZ114" s="29">
        <v>5.3432132534479003E-7</v>
      </c>
      <c r="GA114" s="28">
        <v>71.143999096311703</v>
      </c>
      <c r="GB114" s="29">
        <v>6.9077595188235223E-8</v>
      </c>
      <c r="GC114" s="28">
        <v>71.167236766399455</v>
      </c>
      <c r="GD114" s="29">
        <v>0</v>
      </c>
      <c r="GE114" s="28">
        <v>71.190482026576561</v>
      </c>
      <c r="GF114" s="29">
        <v>0</v>
      </c>
      <c r="GG114" s="28">
        <v>71.213734879322203</v>
      </c>
      <c r="GH114" s="29">
        <v>0</v>
      </c>
      <c r="GI114" s="28">
        <v>71.236995327116333</v>
      </c>
      <c r="GJ114" s="29">
        <v>0</v>
      </c>
      <c r="GK114" s="28">
        <v>71.26026337243961</v>
      </c>
      <c r="GL114" s="29">
        <v>0</v>
      </c>
      <c r="GM114" s="28">
        <v>71.28353901777372</v>
      </c>
      <c r="GN114" s="29">
        <v>0</v>
      </c>
      <c r="GO114" s="28">
        <v>71.306822265601014</v>
      </c>
      <c r="GP114" s="29">
        <v>0</v>
      </c>
      <c r="GQ114" s="28">
        <v>71.330113118404654</v>
      </c>
      <c r="GR114" s="29">
        <v>0</v>
      </c>
      <c r="GS114" s="28">
        <v>71.35341157866867</v>
      </c>
      <c r="GT114" s="29">
        <v>0</v>
      </c>
    </row>
    <row r="115" spans="17:202" x14ac:dyDescent="0.25">
      <c r="U115" s="28">
        <v>66.316091221767834</v>
      </c>
      <c r="V115" s="29">
        <v>0.28443464467776475</v>
      </c>
      <c r="W115" s="28">
        <v>66.337751958708338</v>
      </c>
      <c r="X115" s="29">
        <v>0.2769569861113601</v>
      </c>
      <c r="Y115" s="28">
        <v>66.359419770666634</v>
      </c>
      <c r="Z115" s="29">
        <v>0.2686197974277621</v>
      </c>
      <c r="AA115" s="28">
        <v>66.381094659953618</v>
      </c>
      <c r="AB115" s="29">
        <v>0.26027343569165151</v>
      </c>
      <c r="AC115" s="28">
        <v>66.402776628880972</v>
      </c>
      <c r="AD115" s="29">
        <v>0.25202028390813186</v>
      </c>
      <c r="AE115" s="28">
        <v>66.424465679761042</v>
      </c>
      <c r="AF115" s="29">
        <v>0.24387324122202325</v>
      </c>
      <c r="AG115" s="28">
        <v>66.446161814907086</v>
      </c>
      <c r="AH115" s="29">
        <v>0.23583530382837728</v>
      </c>
      <c r="AI115" s="28">
        <v>66.467865036632958</v>
      </c>
      <c r="AJ115" s="29">
        <v>0.22790850090101061</v>
      </c>
      <c r="AK115" s="28">
        <v>66.489575347253378</v>
      </c>
      <c r="AL115" s="29">
        <v>0.22009474570389453</v>
      </c>
      <c r="AM115" s="28">
        <v>66.511292749083736</v>
      </c>
      <c r="AN115" s="29">
        <v>0.2123958609069623</v>
      </c>
      <c r="AO115" s="28">
        <v>66.533017244440288</v>
      </c>
      <c r="AP115" s="29">
        <v>0.20481365765055579</v>
      </c>
      <c r="AQ115" s="28">
        <v>66.554748835639927</v>
      </c>
      <c r="AR115" s="29">
        <v>0.19734994079484897</v>
      </c>
      <c r="AS115" s="28">
        <v>66.576487525000417</v>
      </c>
      <c r="AT115" s="29">
        <v>0.19000651406130098</v>
      </c>
      <c r="AU115" s="28">
        <v>66.598233314840158</v>
      </c>
      <c r="AV115" s="29">
        <v>0.18278517876936662</v>
      </c>
      <c r="AW115" s="28">
        <v>66.619986207478419</v>
      </c>
      <c r="AX115" s="29">
        <v>0.1756877320533595</v>
      </c>
      <c r="AY115" s="28">
        <v>66.641746205235137</v>
      </c>
      <c r="AZ115" s="29">
        <v>0.1687159643938354</v>
      </c>
      <c r="BA115" s="28">
        <v>66.6635133104311</v>
      </c>
      <c r="BB115" s="29">
        <v>0.16187165689218277</v>
      </c>
      <c r="BC115" s="28">
        <v>66.685287525387736</v>
      </c>
      <c r="BD115" s="29">
        <v>0.1551565782857357</v>
      </c>
      <c r="BE115" s="28">
        <v>66.707068852427355</v>
      </c>
      <c r="BF115" s="29">
        <v>0.14857248171915455</v>
      </c>
      <c r="BG115" s="28">
        <v>66.728857293872935</v>
      </c>
      <c r="BH115" s="29">
        <v>0.14212110125876942</v>
      </c>
      <c r="BI115" s="28">
        <v>66.750652852048262</v>
      </c>
      <c r="BJ115" s="29">
        <v>0.13580414813586492</v>
      </c>
      <c r="BK115" s="28">
        <v>66.772455529277835</v>
      </c>
      <c r="BL115" s="29">
        <v>0.12962330670260047</v>
      </c>
      <c r="BM115" s="28">
        <v>66.794265327886976</v>
      </c>
      <c r="BN115" s="29">
        <v>0.12358023008349904</v>
      </c>
      <c r="BO115" s="28">
        <v>66.816082250201703</v>
      </c>
      <c r="BP115" s="29">
        <v>0.11767653550488553</v>
      </c>
      <c r="BQ115" s="28">
        <v>66.837906298548859</v>
      </c>
      <c r="BR115" s="29">
        <v>0.11191379928409888</v>
      </c>
      <c r="BS115" s="28">
        <v>66.859737475255983</v>
      </c>
      <c r="BT115" s="29">
        <v>0.10629355145993007</v>
      </c>
      <c r="BU115" s="28">
        <v>66.881575782651382</v>
      </c>
      <c r="BV115" s="29">
        <v>0.10081727004543906</v>
      </c>
      <c r="BW115" s="28">
        <v>66.903421223064186</v>
      </c>
      <c r="BX115" s="29">
        <v>9.5486374884149017E-2</v>
      </c>
      <c r="BY115" s="28">
        <v>66.925273798824207</v>
      </c>
      <c r="BZ115" s="29">
        <v>9.0302221090723722E-2</v>
      </c>
      <c r="CA115" s="28">
        <v>66.94713351226207</v>
      </c>
      <c r="CB115" s="29">
        <v>8.5266092057455986E-2</v>
      </c>
      <c r="CC115" s="28">
        <v>66.969000365709178</v>
      </c>
      <c r="CD115" s="29">
        <v>8.0379192008500577E-2</v>
      </c>
      <c r="CE115" s="28">
        <v>66.990874361497617</v>
      </c>
      <c r="CF115" s="29">
        <v>7.56426380846911E-2</v>
      </c>
      <c r="CG115" s="28">
        <v>67.012755501960285</v>
      </c>
      <c r="CH115" s="29">
        <v>7.1057451943088754E-2</v>
      </c>
      <c r="CI115" s="28">
        <v>67.034643789430874</v>
      </c>
      <c r="CJ115" s="29">
        <v>6.662455085728558E-2</v>
      </c>
      <c r="CK115" s="28">
        <v>67.056539226243771</v>
      </c>
      <c r="CL115" s="29">
        <v>6.234473830683402E-2</v>
      </c>
      <c r="CM115" s="28">
        <v>67.078441814734177</v>
      </c>
      <c r="CN115" s="29">
        <v>5.8218694047381191E-2</v>
      </c>
      <c r="CO115" s="28">
        <v>67.100351557237957</v>
      </c>
      <c r="CP115" s="29">
        <v>5.424696365699562E-2</v>
      </c>
      <c r="CQ115" s="28">
        <v>67.12226845609193</v>
      </c>
      <c r="CR115" s="29">
        <v>5.0429947559154566E-2</v>
      </c>
      <c r="CS115" s="28">
        <v>67.14419251363347</v>
      </c>
      <c r="CT115" s="29">
        <v>4.6767889528928658E-2</v>
      </c>
      <c r="CU115" s="28">
        <v>67.166123732200916</v>
      </c>
      <c r="CV115" s="29">
        <v>4.3260864696371339E-2</v>
      </c>
      <c r="CW115" s="28">
        <v>67.188062114133146</v>
      </c>
      <c r="CX115" s="29">
        <v>3.9908767070085643E-2</v>
      </c>
      <c r="CY115" s="28">
        <v>67.210007661769993</v>
      </c>
      <c r="CZ115" s="29">
        <v>3.6711296614751206E-2</v>
      </c>
      <c r="DA115" s="28">
        <v>67.231960377451969</v>
      </c>
      <c r="DB115" s="29">
        <v>3.3667945929243395E-2</v>
      </c>
      <c r="DC115" s="28">
        <v>67.253920263520357</v>
      </c>
      <c r="DD115" s="29">
        <v>3.0777986587188562E-2</v>
      </c>
      <c r="DE115" s="28">
        <v>67.275887322317217</v>
      </c>
      <c r="DF115" s="29">
        <v>2.8040455219692575E-2</v>
      </c>
      <c r="DG115" s="28">
        <v>67.297861556185381</v>
      </c>
      <c r="DH115" s="29">
        <v>2.5454139440889027E-2</v>
      </c>
      <c r="DI115" s="28">
        <v>67.319842967468389</v>
      </c>
      <c r="DJ115" s="29">
        <v>2.301756374122288E-2</v>
      </c>
      <c r="DK115" s="28">
        <v>67.341831558510606</v>
      </c>
      <c r="DL115" s="29">
        <v>2.0728975501389756E-2</v>
      </c>
      <c r="DM115" s="28">
        <v>67.363827331657177</v>
      </c>
      <c r="DN115" s="29">
        <v>1.8586331311946518E-2</v>
      </c>
      <c r="DO115" s="28">
        <v>67.385830289253974</v>
      </c>
      <c r="DP115" s="29">
        <v>1.6587283820036932E-2</v>
      </c>
      <c r="DQ115" s="28">
        <v>67.407840433647607</v>
      </c>
      <c r="DR115" s="29">
        <v>1.4729169365810577E-2</v>
      </c>
      <c r="DS115" s="28">
        <v>67.429857767185538</v>
      </c>
      <c r="DT115" s="29">
        <v>1.3008996716920202E-2</v>
      </c>
      <c r="DU115" s="28">
        <v>67.451882292215913</v>
      </c>
      <c r="DV115" s="29">
        <v>1.1423437260067594E-2</v>
      </c>
      <c r="DW115" s="28">
        <v>67.4739140110877</v>
      </c>
      <c r="DX115" s="29">
        <v>9.9688170635367241E-3</v>
      </c>
      <c r="DY115" s="28">
        <v>67.495952926150608</v>
      </c>
      <c r="DZ115" s="29">
        <v>8.6411112833694563E-3</v>
      </c>
      <c r="EA115" s="28">
        <v>67.517999039755139</v>
      </c>
      <c r="EB115" s="29">
        <v>7.4359414471642351E-3</v>
      </c>
      <c r="EC115" s="28">
        <v>67.540052354252495</v>
      </c>
      <c r="ED115" s="29">
        <v>6.3485762115458996E-3</v>
      </c>
      <c r="EE115" s="28">
        <v>67.562112871994771</v>
      </c>
      <c r="EF115" s="29">
        <v>5.3739362494806958E-3</v>
      </c>
      <c r="EG115" s="28">
        <v>67.58418059533463</v>
      </c>
      <c r="EH115" s="29">
        <v>4.5066039779125275E-3</v>
      </c>
      <c r="EI115" s="28">
        <v>67.606255526625745</v>
      </c>
      <c r="EJ115" s="29">
        <v>3.7408388793828359E-3</v>
      </c>
      <c r="EK115" s="28">
        <v>67.628337668222414</v>
      </c>
      <c r="EL115" s="29">
        <v>3.0705991962910839E-3</v>
      </c>
      <c r="EM115" s="28">
        <v>67.650427022479676</v>
      </c>
      <c r="EN115" s="29">
        <v>2.4895707740327992E-3</v>
      </c>
      <c r="EO115" s="28">
        <v>67.672523591753432</v>
      </c>
      <c r="EP115" s="29">
        <v>1.9912037877472099E-3</v>
      </c>
      <c r="EQ115" s="28">
        <v>67.694627378400327</v>
      </c>
      <c r="ER115" s="29">
        <v>1.5687579924774054E-3</v>
      </c>
      <c r="ES115" s="28">
        <v>67.716738384777742</v>
      </c>
      <c r="ET115" s="29">
        <v>1.2153569711085331E-3</v>
      </c>
      <c r="EU115" s="28">
        <v>67.738856613243868</v>
      </c>
      <c r="EV115" s="29">
        <v>9.2405159913907988E-4</v>
      </c>
      <c r="EW115" s="28">
        <v>67.760982066157595</v>
      </c>
      <c r="EX115" s="29">
        <v>6.8789257944704032E-4</v>
      </c>
      <c r="EY115" s="28">
        <v>67.783114745878692</v>
      </c>
      <c r="EZ115" s="29">
        <v>5.0001140378874308E-4</v>
      </c>
      <c r="FA115" s="28">
        <v>67.805254654767595</v>
      </c>
      <c r="FB115" s="29">
        <v>3.5370845512483961E-4</v>
      </c>
      <c r="FC115" s="28">
        <v>67.827401795185608</v>
      </c>
      <c r="FD115" s="29">
        <v>2.4254617017272913E-4</v>
      </c>
      <c r="FE115" s="28">
        <v>67.849556169494704</v>
      </c>
      <c r="FF115" s="29">
        <v>1.6044424704009217E-4</v>
      </c>
      <c r="FG115" s="28">
        <v>67.871717780057722</v>
      </c>
      <c r="FH115" s="29">
        <v>1.0177284981623338E-4</v>
      </c>
      <c r="FI115" s="28">
        <v>67.893886629238196</v>
      </c>
      <c r="FJ115" s="29">
        <v>6.1438715094581345E-5</v>
      </c>
      <c r="FK115" s="28">
        <v>67.916062719400472</v>
      </c>
      <c r="FL115" s="29">
        <v>3.4958147272549319E-5</v>
      </c>
      <c r="FM115" s="28">
        <v>67.938246052909733</v>
      </c>
      <c r="FN115" s="29">
        <v>1.8510313398793124E-5</v>
      </c>
      <c r="FO115" s="28">
        <v>67.960436632131746</v>
      </c>
      <c r="FP115" s="29">
        <v>8.9643001499398952E-6</v>
      </c>
      <c r="FQ115" s="28">
        <v>67.982634459433243</v>
      </c>
      <c r="FR115" s="29">
        <v>3.8744123540185892E-6</v>
      </c>
      <c r="FS115" s="28">
        <v>68.004839537181638</v>
      </c>
      <c r="FT115" s="29">
        <v>1.4404998456514037E-6</v>
      </c>
      <c r="FU115" s="28">
        <v>68.027051867745129</v>
      </c>
      <c r="FV115" s="29">
        <v>4.3388609253832135E-7</v>
      </c>
      <c r="FW115" s="28">
        <v>68.049271453492707</v>
      </c>
      <c r="FX115" s="29">
        <v>9.4591008010305564E-8</v>
      </c>
      <c r="FY115" s="28">
        <v>68.071498296794104</v>
      </c>
      <c r="FZ115" s="29">
        <v>1.1258844765533326E-8</v>
      </c>
      <c r="GA115" s="28">
        <v>68.093732400019874</v>
      </c>
      <c r="GB115" s="29">
        <v>0</v>
      </c>
      <c r="GC115" s="28">
        <v>68.115973765541284</v>
      </c>
      <c r="GD115" s="29">
        <v>0</v>
      </c>
      <c r="GE115" s="28">
        <v>68.138222395730395</v>
      </c>
      <c r="GF115" s="29">
        <v>0</v>
      </c>
      <c r="GG115" s="28">
        <v>68.160478292960121</v>
      </c>
      <c r="GH115" s="29">
        <v>0</v>
      </c>
      <c r="GI115" s="28">
        <v>68.18274145960406</v>
      </c>
      <c r="GJ115" s="29">
        <v>0</v>
      </c>
      <c r="GK115" s="28">
        <v>68.205011898036545</v>
      </c>
      <c r="GL115" s="29">
        <v>0</v>
      </c>
      <c r="GM115" s="28">
        <v>68.227289610632837</v>
      </c>
      <c r="GN115" s="29">
        <v>0</v>
      </c>
      <c r="GO115" s="28">
        <v>68.249574599768863</v>
      </c>
      <c r="GP115" s="29">
        <v>0</v>
      </c>
      <c r="GQ115" s="28">
        <v>68.271866867821331</v>
      </c>
      <c r="GR115" s="29">
        <v>0</v>
      </c>
      <c r="GS115" s="28">
        <v>68.294166417167759</v>
      </c>
      <c r="GT115" s="29">
        <v>0</v>
      </c>
    </row>
    <row r="116" spans="17:202" x14ac:dyDescent="0.25">
      <c r="W116" s="28">
        <v>63.493550928729888</v>
      </c>
      <c r="X116" s="29">
        <v>0.16170796148584748</v>
      </c>
      <c r="Y116" s="28">
        <v>63.514289743077171</v>
      </c>
      <c r="Z116" s="29">
        <v>0.1617607799428826</v>
      </c>
      <c r="AA116" s="28">
        <v>63.535035331315896</v>
      </c>
      <c r="AB116" s="29">
        <v>0.15670545610127315</v>
      </c>
      <c r="AC116" s="28">
        <v>63.555787695658616</v>
      </c>
      <c r="AD116" s="29">
        <v>0.15113064997112563</v>
      </c>
      <c r="AE116" s="28">
        <v>63.576546838318542</v>
      </c>
      <c r="AF116" s="29">
        <v>0.14558452884331793</v>
      </c>
      <c r="AG116" s="28">
        <v>63.597312761509748</v>
      </c>
      <c r="AH116" s="29">
        <v>0.14012867353135317</v>
      </c>
      <c r="AI116" s="28">
        <v>63.618085467446889</v>
      </c>
      <c r="AJ116" s="29">
        <v>0.13477028779770531</v>
      </c>
      <c r="AK116" s="28">
        <v>63.638864958345437</v>
      </c>
      <c r="AL116" s="29">
        <v>0.12951132860093229</v>
      </c>
      <c r="AM116" s="28">
        <v>63.659651236421517</v>
      </c>
      <c r="AN116" s="29">
        <v>0.12435339072652737</v>
      </c>
      <c r="AO116" s="28">
        <v>63.680444303892067</v>
      </c>
      <c r="AP116" s="29">
        <v>0.11929754434633252</v>
      </c>
      <c r="AQ116" s="28">
        <v>63.701244162974653</v>
      </c>
      <c r="AR116" s="29">
        <v>0.11434477791017726</v>
      </c>
      <c r="AS116" s="28">
        <v>63.722050815887663</v>
      </c>
      <c r="AT116" s="29">
        <v>0.10949600921348455</v>
      </c>
      <c r="AU116" s="28">
        <v>63.742864264850091</v>
      </c>
      <c r="AV116" s="29">
        <v>0.10475212114781407</v>
      </c>
      <c r="AW116" s="28">
        <v>63.763684512081781</v>
      </c>
      <c r="AX116" s="29">
        <v>0.10011396211680784</v>
      </c>
      <c r="AY116" s="28">
        <v>63.784511559803192</v>
      </c>
      <c r="AZ116" s="29">
        <v>9.558234626329265E-2</v>
      </c>
      <c r="BA116" s="28">
        <v>63.80534541023561</v>
      </c>
      <c r="BB116" s="29">
        <v>9.1158050868678564E-2</v>
      </c>
      <c r="BC116" s="28">
        <v>63.826186065600943</v>
      </c>
      <c r="BD116" s="29">
        <v>8.6841813465301329E-2</v>
      </c>
      <c r="BE116" s="28">
        <v>63.847033528121926</v>
      </c>
      <c r="BF116" s="29">
        <v>8.2634328603676685E-2</v>
      </c>
      <c r="BG116" s="28">
        <v>63.86788780002194</v>
      </c>
      <c r="BH116" s="29">
        <v>7.8536244439824307E-2</v>
      </c>
      <c r="BI116" s="28">
        <v>63.888748883525139</v>
      </c>
      <c r="BJ116" s="29">
        <v>7.454815914273881E-2</v>
      </c>
      <c r="BK116" s="28">
        <v>63.909616780856368</v>
      </c>
      <c r="BL116" s="29">
        <v>7.0670617128566995E-2</v>
      </c>
      <c r="BM116" s="28">
        <v>63.930491494241238</v>
      </c>
      <c r="BN116" s="29">
        <v>6.6904105119168653E-2</v>
      </c>
      <c r="BO116" s="28">
        <v>63.951373025906051</v>
      </c>
      <c r="BP116" s="29">
        <v>6.3249048023559379E-2</v>
      </c>
      <c r="BQ116" s="28">
        <v>63.972261378077881</v>
      </c>
      <c r="BR116" s="29">
        <v>5.9705804641118153E-2</v>
      </c>
      <c r="BS116" s="28">
        <v>63.993156552984487</v>
      </c>
      <c r="BT116" s="29">
        <v>5.6274663186697021E-2</v>
      </c>
      <c r="BU116" s="28">
        <v>64.014058552854337</v>
      </c>
      <c r="BV116" s="29">
        <v>5.2955836639089572E-2</v>
      </c>
      <c r="BW116" s="28">
        <v>64.034967379916708</v>
      </c>
      <c r="BX116" s="29">
        <v>4.9749457915940966E-2</v>
      </c>
      <c r="BY116" s="28">
        <v>64.055883036401511</v>
      </c>
      <c r="BZ116" s="29">
        <v>4.6655574880064526E-2</v>
      </c>
      <c r="CA116" s="28">
        <v>64.076805524539466</v>
      </c>
      <c r="CB116" s="29">
        <v>4.3674145184381036E-2</v>
      </c>
      <c r="CC116" s="28">
        <v>64.097734846562005</v>
      </c>
      <c r="CD116" s="29">
        <v>4.080503096527581E-2</v>
      </c>
      <c r="CE116" s="28">
        <v>64.118671004701227</v>
      </c>
      <c r="CF116" s="29">
        <v>3.8047993397110264E-2</v>
      </c>
      <c r="CG116" s="28">
        <v>64.139614001190012</v>
      </c>
      <c r="CH116" s="29">
        <v>3.5402687124135815E-2</v>
      </c>
      <c r="CI116" s="28">
        <v>64.160563838261993</v>
      </c>
      <c r="CJ116" s="29">
        <v>3.2868654589879136E-2</v>
      </c>
      <c r="CK116" s="28">
        <v>64.181520518151473</v>
      </c>
      <c r="CL116" s="29">
        <v>3.0445320288635992E-2</v>
      </c>
      <c r="CM116" s="28">
        <v>64.202484043093534</v>
      </c>
      <c r="CN116" s="29">
        <v>2.8131984968731767E-2</v>
      </c>
      <c r="CO116" s="28">
        <v>64.223454415323886</v>
      </c>
      <c r="CP116" s="29">
        <v>2.5927819822984487E-2</v>
      </c>
      <c r="CQ116" s="28">
        <v>64.244431637079174</v>
      </c>
      <c r="CR116" s="29">
        <v>2.383186070823801E-2</v>
      </c>
      <c r="CS116" s="28">
        <v>64.265415710596528</v>
      </c>
      <c r="CT116" s="29">
        <v>2.184300244309002E-2</v>
      </c>
      <c r="CU116" s="28">
        <v>64.286406638114059</v>
      </c>
      <c r="CV116" s="29">
        <v>1.9959993240996877E-2</v>
      </c>
      <c r="CW116" s="28">
        <v>64.307404421870359</v>
      </c>
      <c r="CX116" s="29">
        <v>1.8181429344852989E-2</v>
      </c>
      <c r="CY116" s="28">
        <v>64.328409064104946</v>
      </c>
      <c r="CZ116" s="29">
        <v>1.650574993900894E-2</v>
      </c>
      <c r="DA116" s="28">
        <v>64.349420567057962</v>
      </c>
      <c r="DB116" s="29">
        <v>1.4931232425407547E-2</v>
      </c>
      <c r="DC116" s="28">
        <v>64.370438932970345</v>
      </c>
      <c r="DD116" s="29">
        <v>1.345598816221409E-2</v>
      </c>
      <c r="DE116" s="28">
        <v>64.3914641640837</v>
      </c>
      <c r="DF116" s="29">
        <v>1.2077958775834731E-2</v>
      </c>
      <c r="DG116" s="28">
        <v>64.412496262640445</v>
      </c>
      <c r="DH116" s="29">
        <v>1.0794913170541142E-2</v>
      </c>
      <c r="DI116" s="28">
        <v>64.433535230883621</v>
      </c>
      <c r="DJ116" s="29">
        <v>9.6044453738686492E-3</v>
      </c>
      <c r="DK116" s="28">
        <v>64.454581071057092</v>
      </c>
      <c r="DL116" s="29">
        <v>8.5039733703504219E-3</v>
      </c>
      <c r="DM116" s="28">
        <v>64.475633785405435</v>
      </c>
      <c r="DN116" s="29">
        <v>7.4907390906117036E-3</v>
      </c>
      <c r="DO116" s="28">
        <v>64.49669337617398</v>
      </c>
      <c r="DP116" s="29">
        <v>6.5618097370294176E-3</v>
      </c>
      <c r="DQ116" s="28">
        <v>64.517759845608694</v>
      </c>
      <c r="DR116" s="29">
        <v>5.7140806403810232E-3</v>
      </c>
      <c r="DS116" s="28">
        <v>64.5388331959564</v>
      </c>
      <c r="DT116" s="29">
        <v>4.944279853492866E-3</v>
      </c>
      <c r="DU116" s="28">
        <v>64.559913429464572</v>
      </c>
      <c r="DV116" s="29">
        <v>4.2489746967939749E-3</v>
      </c>
      <c r="DW116" s="28">
        <v>64.581000548381482</v>
      </c>
      <c r="DX116" s="29">
        <v>3.6245804756946005E-3</v>
      </c>
      <c r="DY116" s="28">
        <v>64.602094554956068</v>
      </c>
      <c r="DZ116" s="29">
        <v>3.0673715892837656E-3</v>
      </c>
      <c r="EA116" s="28">
        <v>64.623195451438079</v>
      </c>
      <c r="EB116" s="29">
        <v>2.5734952421218238E-3</v>
      </c>
      <c r="EC116" s="28">
        <v>64.644303240077903</v>
      </c>
      <c r="ED116" s="29">
        <v>2.1389879536557531E-3</v>
      </c>
      <c r="EE116" s="28">
        <v>64.665417923126782</v>
      </c>
      <c r="EF116" s="29">
        <v>1.7597950304140003E-3</v>
      </c>
      <c r="EG116" s="28">
        <v>64.68653950283651</v>
      </c>
      <c r="EH116" s="29">
        <v>1.4317931217025311E-3</v>
      </c>
      <c r="EI116" s="28">
        <v>64.707667981459863</v>
      </c>
      <c r="EJ116" s="29">
        <v>1.1508159167856675E-3</v>
      </c>
      <c r="EK116" s="28">
        <v>64.728803361250186</v>
      </c>
      <c r="EL116" s="29">
        <v>9.1268295711440135E-4</v>
      </c>
      <c r="EM116" s="28">
        <v>64.749945644461548</v>
      </c>
      <c r="EN116" s="29">
        <v>7.1323142778124255E-4</v>
      </c>
      <c r="EO116" s="28">
        <v>64.771094833348855</v>
      </c>
      <c r="EP116" s="29">
        <v>5.4835065521163405E-4</v>
      </c>
      <c r="EQ116" s="28">
        <v>64.792250930167683</v>
      </c>
      <c r="ER116" s="29">
        <v>4.1401887136210215E-4</v>
      </c>
      <c r="ES116" s="28">
        <v>64.813413937174374</v>
      </c>
      <c r="ET116" s="29">
        <v>3.063416084343583E-4</v>
      </c>
      <c r="EU116" s="28">
        <v>64.834583856625983</v>
      </c>
      <c r="EV116" s="29">
        <v>2.2159086525831419E-4</v>
      </c>
      <c r="EW116" s="28">
        <v>64.855760690780301</v>
      </c>
      <c r="EX116" s="29">
        <v>1.5624394424219328E-4</v>
      </c>
      <c r="EY116" s="28">
        <v>64.876944441895873</v>
      </c>
      <c r="EZ116" s="29">
        <v>1.0702060918087523E-4</v>
      </c>
      <c r="FA116" s="28">
        <v>64.898135112231984</v>
      </c>
      <c r="FB116" s="29">
        <v>7.0916979926718081E-5</v>
      </c>
      <c r="FC116" s="28">
        <v>64.919332704048657</v>
      </c>
      <c r="FD116" s="29">
        <v>4.5234389846145242E-5</v>
      </c>
      <c r="FE116" s="28">
        <v>64.940537219606625</v>
      </c>
      <c r="FF116" s="29">
        <v>2.7601326146447891E-5</v>
      </c>
      <c r="FG116" s="28">
        <v>64.961748661167405</v>
      </c>
      <c r="FH116" s="29">
        <v>1.5986601170127194E-5</v>
      </c>
      <c r="FI116" s="28">
        <v>64.982967030993194</v>
      </c>
      <c r="FJ116" s="29">
        <v>8.7021204756773645E-6</v>
      </c>
      <c r="FK116" s="28">
        <v>65.004192331346985</v>
      </c>
      <c r="FL116" s="29">
        <v>4.3940753978923708E-6</v>
      </c>
      <c r="FM116" s="28">
        <v>65.025424564492539</v>
      </c>
      <c r="FN116" s="29">
        <v>2.022133143891346E-6</v>
      </c>
      <c r="FO116" s="28">
        <v>65.046663732694199</v>
      </c>
      <c r="FP116" s="29">
        <v>8.2722972741908092E-7</v>
      </c>
      <c r="FQ116" s="28">
        <v>65.067909838217219</v>
      </c>
      <c r="FR116" s="29">
        <v>2.8983047553381766E-7</v>
      </c>
      <c r="FS116" s="28">
        <v>65.089162883327518</v>
      </c>
      <c r="FT116" s="29">
        <v>8.1858217778521929E-8</v>
      </c>
      <c r="FU116" s="28">
        <v>65.110422870291757</v>
      </c>
      <c r="FV116" s="29">
        <v>1.6640110900909696E-8</v>
      </c>
      <c r="FW116" s="28">
        <v>65.131689801377348</v>
      </c>
      <c r="FX116" s="29">
        <v>1.8350607763480636E-9</v>
      </c>
      <c r="FY116" s="28">
        <v>65.15296367885243</v>
      </c>
      <c r="FZ116" s="29">
        <v>0</v>
      </c>
      <c r="GA116" s="28">
        <v>65.174244504985921</v>
      </c>
      <c r="GB116" s="29">
        <v>0</v>
      </c>
      <c r="GC116" s="28">
        <v>65.195532282047424</v>
      </c>
      <c r="GD116" s="29">
        <v>0</v>
      </c>
      <c r="GE116" s="28">
        <v>65.216827012307292</v>
      </c>
      <c r="GF116" s="29">
        <v>0</v>
      </c>
      <c r="GG116" s="28">
        <v>65.238128698036704</v>
      </c>
      <c r="GH116" s="29">
        <v>0</v>
      </c>
      <c r="GI116" s="28">
        <v>65.259437341507493</v>
      </c>
      <c r="GJ116" s="29">
        <v>0</v>
      </c>
      <c r="GK116" s="28">
        <v>65.280752944992201</v>
      </c>
      <c r="GL116" s="29">
        <v>0</v>
      </c>
      <c r="GM116" s="28">
        <v>65.302075510764226</v>
      </c>
      <c r="GN116" s="29">
        <v>0</v>
      </c>
      <c r="GO116" s="28">
        <v>65.323405041097658</v>
      </c>
      <c r="GP116" s="29">
        <v>0</v>
      </c>
      <c r="GQ116" s="28">
        <v>65.344741538267272</v>
      </c>
      <c r="GR116" s="29">
        <v>0</v>
      </c>
      <c r="GS116" s="28">
        <v>65.36608500454868</v>
      </c>
      <c r="GT116" s="29">
        <v>0</v>
      </c>
    </row>
    <row r="117" spans="17:202" x14ac:dyDescent="0.25">
      <c r="AA117" s="28">
        <v>60.810999505659247</v>
      </c>
      <c r="AB117" s="29">
        <v>8.7565034327323182E-2</v>
      </c>
      <c r="AC117" s="28">
        <v>60.830862121792308</v>
      </c>
      <c r="AD117" s="29">
        <v>8.7593635578374143E-2</v>
      </c>
      <c r="AE117" s="28">
        <v>60.850731225625296</v>
      </c>
      <c r="AF117" s="29">
        <v>8.4357839755465444E-2</v>
      </c>
      <c r="AG117" s="28">
        <v>60.87060681927737</v>
      </c>
      <c r="AH117" s="29">
        <v>8.0832826735957111E-2</v>
      </c>
      <c r="AI117" s="28">
        <v>60.890488904868214</v>
      </c>
      <c r="AJ117" s="29">
        <v>7.7350088130980682E-2</v>
      </c>
      <c r="AK117" s="28">
        <v>60.910377484518321</v>
      </c>
      <c r="AL117" s="29">
        <v>7.3942437563854616E-2</v>
      </c>
      <c r="AM117" s="28">
        <v>60.930272560348804</v>
      </c>
      <c r="AN117" s="29">
        <v>7.0613381572498385E-2</v>
      </c>
      <c r="AO117" s="28">
        <v>60.95017413448155</v>
      </c>
      <c r="AP117" s="29">
        <v>6.73663638982019E-2</v>
      </c>
      <c r="AQ117" s="28">
        <v>60.970082209039049</v>
      </c>
      <c r="AR117" s="29">
        <v>6.4202073379498764E-2</v>
      </c>
      <c r="AS117" s="28">
        <v>60.989996786144566</v>
      </c>
      <c r="AT117" s="29">
        <v>6.1120996537054634E-2</v>
      </c>
      <c r="AU117" s="28">
        <v>61.00991786792197</v>
      </c>
      <c r="AV117" s="29">
        <v>5.8123343872413739E-2</v>
      </c>
      <c r="AW117" s="28">
        <v>61.02984545649592</v>
      </c>
      <c r="AX117" s="29">
        <v>5.5209259887036288E-2</v>
      </c>
      <c r="AY117" s="28">
        <v>61.049779553991684</v>
      </c>
      <c r="AZ117" s="29">
        <v>5.2378826998731892E-2</v>
      </c>
      <c r="BA117" s="28">
        <v>61.069720162535305</v>
      </c>
      <c r="BB117" s="29">
        <v>4.9632079661001791E-2</v>
      </c>
      <c r="BC117" s="28">
        <v>61.089667284253423</v>
      </c>
      <c r="BD117" s="29">
        <v>4.6969003248418538E-2</v>
      </c>
      <c r="BE117" s="28">
        <v>61.109620921273482</v>
      </c>
      <c r="BF117" s="29">
        <v>4.438953284036995E-2</v>
      </c>
      <c r="BG117" s="28">
        <v>61.129581075723536</v>
      </c>
      <c r="BH117" s="29">
        <v>4.1893550928172631E-2</v>
      </c>
      <c r="BI117" s="28">
        <v>61.149547749732378</v>
      </c>
      <c r="BJ117" s="29">
        <v>3.9480885029062399E-2</v>
      </c>
      <c r="BK117" s="28">
        <v>61.169520945429461</v>
      </c>
      <c r="BL117" s="29">
        <v>3.7151305197093719E-2</v>
      </c>
      <c r="BM117" s="28">
        <v>61.18950066494498</v>
      </c>
      <c r="BN117" s="29">
        <v>3.4904521494951352E-2</v>
      </c>
      <c r="BO117" s="28">
        <v>61.209486910409773</v>
      </c>
      <c r="BP117" s="29">
        <v>3.274018143610772E-2</v>
      </c>
      <c r="BQ117" s="28">
        <v>61.229479683955446</v>
      </c>
      <c r="BR117" s="29">
        <v>3.0657867409688636E-2</v>
      </c>
      <c r="BS117" s="28">
        <v>61.249478987714234</v>
      </c>
      <c r="BT117" s="29">
        <v>2.865709409922056E-2</v>
      </c>
      <c r="BU117" s="28">
        <v>61.269484823819063</v>
      </c>
      <c r="BV117" s="29">
        <v>2.6737305908157871E-2</v>
      </c>
      <c r="BW117" s="28">
        <v>61.28949719440363</v>
      </c>
      <c r="BX117" s="29">
        <v>2.4897874406933283E-2</v>
      </c>
      <c r="BY117" s="28">
        <v>61.309516101602235</v>
      </c>
      <c r="BZ117" s="29">
        <v>2.3138095818211798E-2</v>
      </c>
      <c r="CA117" s="28">
        <v>61.329541547549965</v>
      </c>
      <c r="CB117" s="29">
        <v>2.1457188559251019E-2</v>
      </c>
      <c r="CC117" s="28">
        <v>61.349573534382579</v>
      </c>
      <c r="CD117" s="29">
        <v>1.9854290862678904E-2</v>
      </c>
      <c r="CE117" s="28">
        <v>61.36961206423647</v>
      </c>
      <c r="CF117" s="29">
        <v>1.832845849962628E-2</v>
      </c>
      <c r="CG117" s="28">
        <v>61.389657139248783</v>
      </c>
      <c r="CH117" s="29">
        <v>1.6878662631959248E-2</v>
      </c>
      <c r="CI117" s="28">
        <v>61.409708761557397</v>
      </c>
      <c r="CJ117" s="29">
        <v>1.5503787823400119E-2</v>
      </c>
      <c r="CK117" s="28">
        <v>61.429766933300812</v>
      </c>
      <c r="CL117" s="29">
        <v>1.420263024251809E-2</v>
      </c>
      <c r="CM117" s="28">
        <v>61.449831656618279</v>
      </c>
      <c r="CN117" s="29">
        <v>1.2973896094008957E-2</v>
      </c>
      <c r="CO117" s="28">
        <v>61.469902933649664</v>
      </c>
      <c r="CP117" s="29">
        <v>1.1816200318227018E-2</v>
      </c>
      <c r="CQ117" s="28">
        <v>61.489980766535702</v>
      </c>
      <c r="CR117" s="29">
        <v>1.0728065602639378E-2</v>
      </c>
      <c r="CS117" s="28">
        <v>61.510065157417621</v>
      </c>
      <c r="CT117" s="29">
        <v>9.707921752667303E-3</v>
      </c>
      <c r="CU117" s="28">
        <v>61.530156108437566</v>
      </c>
      <c r="CV117" s="29">
        <v>8.7541054732066664E-3</v>
      </c>
      <c r="CW117" s="28">
        <v>61.55025362173815</v>
      </c>
      <c r="CX117" s="29">
        <v>7.8648606158783045E-3</v>
      </c>
      <c r="CY117" s="28">
        <v>61.570357699462875</v>
      </c>
      <c r="CZ117" s="29">
        <v>7.0383389507147924E-3</v>
      </c>
      <c r="DA117" s="28">
        <v>61.590468343755845</v>
      </c>
      <c r="DB117" s="29">
        <v>6.2726015243455566E-3</v>
      </c>
      <c r="DC117" s="28">
        <v>61.610585556761905</v>
      </c>
      <c r="DD117" s="29">
        <v>5.5656206696812396E-3</v>
      </c>
      <c r="DE117" s="28">
        <v>61.630709340626559</v>
      </c>
      <c r="DF117" s="29">
        <v>4.9152827344339373E-3</v>
      </c>
      <c r="DG117" s="28">
        <v>61.650839697496082</v>
      </c>
      <c r="DH117" s="29">
        <v>4.3193915972772959E-3</v>
      </c>
      <c r="DI117" s="28">
        <v>61.670976629517348</v>
      </c>
      <c r="DJ117" s="29">
        <v>3.7756730408075407E-3</v>
      </c>
      <c r="DK117" s="28">
        <v>61.691120138838009</v>
      </c>
      <c r="DL117" s="29">
        <v>3.2817800493615736E-3</v>
      </c>
      <c r="DM117" s="28">
        <v>61.71127022760642</v>
      </c>
      <c r="DN117" s="29">
        <v>2.8352990967890519E-3</v>
      </c>
      <c r="DO117" s="28">
        <v>61.73142689797163</v>
      </c>
      <c r="DP117" s="29">
        <v>2.433757484050504E-3</v>
      </c>
      <c r="DQ117" s="28">
        <v>61.751590152083317</v>
      </c>
      <c r="DR117" s="29">
        <v>2.0746317784798205E-3</v>
      </c>
      <c r="DS117" s="28">
        <v>61.771759992091972</v>
      </c>
      <c r="DT117" s="29">
        <v>1.7553573951759275E-3</v>
      </c>
      <c r="DU117" s="28">
        <v>61.791936420148708</v>
      </c>
      <c r="DV117" s="29">
        <v>1.4733393456600077E-3</v>
      </c>
      <c r="DW117" s="28">
        <v>61.812119438405411</v>
      </c>
      <c r="DX117" s="29">
        <v>1.2259641590239845E-3</v>
      </c>
      <c r="DY117" s="28">
        <v>61.83230904901459</v>
      </c>
      <c r="DZ117" s="29">
        <v>1.0106129556587296E-3</v>
      </c>
      <c r="EA117" s="28">
        <v>61.852505254129532</v>
      </c>
      <c r="EB117" s="29">
        <v>8.2467562269737075E-4</v>
      </c>
      <c r="EC117" s="28">
        <v>61.872708055904148</v>
      </c>
      <c r="ED117" s="29">
        <v>6.6556600304644583E-4</v>
      </c>
      <c r="EE117" s="28">
        <v>61.892917456493159</v>
      </c>
      <c r="EF117" s="29">
        <v>5.3073796598100426E-4</v>
      </c>
      <c r="EG117" s="28">
        <v>61.913133458051817</v>
      </c>
      <c r="EH117" s="29">
        <v>4.1770217674135792E-4</v>
      </c>
      <c r="EI117" s="28">
        <v>61.933356062736301</v>
      </c>
      <c r="EJ117" s="29">
        <v>3.240433257933073E-4</v>
      </c>
      <c r="EK117" s="28">
        <v>61.95358527270335</v>
      </c>
      <c r="EL117" s="29">
        <v>2.4743751642530322E-4</v>
      </c>
      <c r="EM117" s="28">
        <v>61.973821090110398</v>
      </c>
      <c r="EN117" s="29">
        <v>1.856694439979971E-4</v>
      </c>
      <c r="EO117" s="28">
        <v>61.994063517115663</v>
      </c>
      <c r="EP117" s="29">
        <v>1.3664893431853089E-4</v>
      </c>
      <c r="EQ117" s="28">
        <v>62.014312555878014</v>
      </c>
      <c r="ER117" s="29">
        <v>9.8426346468927234E-5</v>
      </c>
      <c r="ES117" s="28">
        <v>62.034568208557069</v>
      </c>
      <c r="ET117" s="29">
        <v>6.9206292652099414E-5</v>
      </c>
      <c r="EU117" s="28">
        <v>62.054830477313089</v>
      </c>
      <c r="EV117" s="29">
        <v>4.7359091552985325E-5</v>
      </c>
      <c r="EW117" s="28">
        <v>62.075099364307079</v>
      </c>
      <c r="EX117" s="29">
        <v>3.1429361266616259E-5</v>
      </c>
      <c r="EY117" s="28">
        <v>62.095374871700749</v>
      </c>
      <c r="EZ117" s="29">
        <v>2.0141183243366186E-5</v>
      </c>
      <c r="FA117" s="28">
        <v>62.115657001656515</v>
      </c>
      <c r="FB117" s="29">
        <v>1.2399340723549714E-5</v>
      </c>
      <c r="FC117" s="28">
        <v>62.135945756337499</v>
      </c>
      <c r="FD117" s="29">
        <v>7.2862637893648652E-6</v>
      </c>
      <c r="FE117" s="28">
        <v>62.156241137907514</v>
      </c>
      <c r="FF117" s="29">
        <v>4.0545055932729845E-6</v>
      </c>
      <c r="FG117" s="28">
        <v>62.17654314853111</v>
      </c>
      <c r="FH117" s="29">
        <v>2.1148318668981203E-6</v>
      </c>
      <c r="FI117" s="28">
        <v>62.196851790373493</v>
      </c>
      <c r="FJ117" s="29">
        <v>1.0203203206301288E-6</v>
      </c>
      <c r="FK117" s="28">
        <v>62.217167065600634</v>
      </c>
      <c r="FL117" s="29">
        <v>4.4721638856353592E-7</v>
      </c>
      <c r="FM117" s="28">
        <v>62.23748897637924</v>
      </c>
      <c r="FN117" s="29">
        <v>1.7363860063354315E-7</v>
      </c>
      <c r="FO117" s="28">
        <v>62.257817524876558</v>
      </c>
      <c r="FP117" s="29">
        <v>5.7514808715957108E-8</v>
      </c>
      <c r="FQ117" s="28">
        <v>62.278152713260738</v>
      </c>
      <c r="FR117" s="29">
        <v>1.5290422806847834E-8</v>
      </c>
      <c r="FS117" s="28">
        <v>62.298494543700535</v>
      </c>
      <c r="FT117" s="29">
        <v>2.9114592348818867E-9</v>
      </c>
      <c r="FU117" s="28">
        <v>62.318843018365428</v>
      </c>
      <c r="FV117" s="29">
        <v>2.9909356803632092E-10</v>
      </c>
      <c r="FW117" s="28">
        <v>62.339198139425626</v>
      </c>
      <c r="FX117" s="29">
        <v>0</v>
      </c>
      <c r="FY117" s="28">
        <v>62.359559909052017</v>
      </c>
      <c r="FZ117" s="29">
        <v>0</v>
      </c>
      <c r="GA117" s="28">
        <v>62.379928329416231</v>
      </c>
      <c r="GB117" s="29">
        <v>0</v>
      </c>
      <c r="GC117" s="28">
        <v>62.400303402690575</v>
      </c>
      <c r="GD117" s="29">
        <v>0</v>
      </c>
      <c r="GE117" s="28">
        <v>62.42068513104806</v>
      </c>
      <c r="GF117" s="29">
        <v>0</v>
      </c>
      <c r="GG117" s="28">
        <v>62.441073516662485</v>
      </c>
      <c r="GH117" s="29">
        <v>0</v>
      </c>
      <c r="GI117" s="28">
        <v>62.46146856170828</v>
      </c>
      <c r="GJ117" s="29">
        <v>0</v>
      </c>
      <c r="GK117" s="28">
        <v>62.481870268360559</v>
      </c>
      <c r="GL117" s="29">
        <v>0</v>
      </c>
      <c r="GM117" s="28">
        <v>62.502278638795239</v>
      </c>
      <c r="GN117" s="29">
        <v>0</v>
      </c>
      <c r="GO117" s="28">
        <v>62.522693675188911</v>
      </c>
      <c r="GP117" s="29">
        <v>0</v>
      </c>
      <c r="GQ117" s="28">
        <v>62.543115379718827</v>
      </c>
      <c r="GR117" s="29">
        <v>0</v>
      </c>
      <c r="GS117" s="28">
        <v>62.563543754563028</v>
      </c>
      <c r="GT117" s="29">
        <v>0</v>
      </c>
    </row>
    <row r="118" spans="17:202" x14ac:dyDescent="0.25">
      <c r="AE118" s="28">
        <v>58.241783721124492</v>
      </c>
      <c r="AF118" s="29">
        <v>4.4919708656471061E-2</v>
      </c>
      <c r="AG118" s="28">
        <v>58.260807157712641</v>
      </c>
      <c r="AH118" s="29">
        <v>4.4934380721345916E-2</v>
      </c>
      <c r="AI118" s="28">
        <v>58.279836807900622</v>
      </c>
      <c r="AJ118" s="29">
        <v>4.2991943400760811E-2</v>
      </c>
      <c r="AK118" s="28">
        <v>58.29887267371803</v>
      </c>
      <c r="AL118" s="29">
        <v>4.0908749879362168E-2</v>
      </c>
      <c r="AM118" s="28">
        <v>58.31791475719502</v>
      </c>
      <c r="AN118" s="29">
        <v>3.8862244792376308E-2</v>
      </c>
      <c r="AO118" s="28">
        <v>58.336963060362514</v>
      </c>
      <c r="AP118" s="29">
        <v>3.6858519052073872E-2</v>
      </c>
      <c r="AQ118" s="28">
        <v>58.356017585251998</v>
      </c>
      <c r="AR118" s="29">
        <v>3.4914153817049737E-2</v>
      </c>
      <c r="AS118" s="28">
        <v>58.375078333895701</v>
      </c>
      <c r="AT118" s="29">
        <v>3.3030411838995917E-2</v>
      </c>
      <c r="AU118" s="28">
        <v>58.394145308326429</v>
      </c>
      <c r="AV118" s="29">
        <v>3.120848134352748E-2</v>
      </c>
      <c r="AW118" s="28">
        <v>58.413218510577757</v>
      </c>
      <c r="AX118" s="29">
        <v>2.9448220962367745E-2</v>
      </c>
      <c r="AY118" s="28">
        <v>58.432297942683832</v>
      </c>
      <c r="AZ118" s="29">
        <v>2.7749377495891816E-2</v>
      </c>
      <c r="BA118" s="28">
        <v>58.451383606679535</v>
      </c>
      <c r="BB118" s="29">
        <v>2.6111556147592332E-2</v>
      </c>
      <c r="BC118" s="28">
        <v>58.47047550460033</v>
      </c>
      <c r="BD118" s="29">
        <v>2.453431056350867E-2</v>
      </c>
      <c r="BE118" s="28">
        <v>58.489573638482454</v>
      </c>
      <c r="BF118" s="29">
        <v>2.3017144140519575E-2</v>
      </c>
      <c r="BG118" s="28">
        <v>58.508678010362722</v>
      </c>
      <c r="BH118" s="29">
        <v>2.155951512325895E-2</v>
      </c>
      <c r="BI118" s="28">
        <v>58.527788622278642</v>
      </c>
      <c r="BJ118" s="29">
        <v>2.0160835915076204E-2</v>
      </c>
      <c r="BK118" s="28">
        <v>58.546905476268385</v>
      </c>
      <c r="BL118" s="29">
        <v>1.8820472411608998E-2</v>
      </c>
      <c r="BM118" s="28">
        <v>58.566028574370804</v>
      </c>
      <c r="BN118" s="29">
        <v>1.7537743049903558E-2</v>
      </c>
      <c r="BO118" s="28">
        <v>58.585157918625377</v>
      </c>
      <c r="BP118" s="29">
        <v>1.6311917913636901E-2</v>
      </c>
      <c r="BQ118" s="28">
        <v>58.604293511072335</v>
      </c>
      <c r="BR118" s="29">
        <v>1.5142217902393933E-2</v>
      </c>
      <c r="BS118" s="28">
        <v>58.62343535375247</v>
      </c>
      <c r="BT118" s="29">
        <v>1.4027813993870979E-2</v>
      </c>
      <c r="BU118" s="28">
        <v>58.642583448707278</v>
      </c>
      <c r="BV118" s="29">
        <v>1.2967826612650923E-2</v>
      </c>
      <c r="BW118" s="28">
        <v>58.661737797978972</v>
      </c>
      <c r="BX118" s="29">
        <v>1.1961325120691042E-2</v>
      </c>
      <c r="BY118" s="28">
        <v>58.680898403610335</v>
      </c>
      <c r="BZ118" s="29">
        <v>1.1007327446059449E-2</v>
      </c>
      <c r="CA118" s="28">
        <v>58.700065267644923</v>
      </c>
      <c r="CB118" s="29">
        <v>1.0104799867010628E-2</v>
      </c>
      <c r="CC118" s="28">
        <v>58.719238392126918</v>
      </c>
      <c r="CD118" s="29">
        <v>9.2526569696082545E-3</v>
      </c>
      <c r="CE118" s="28">
        <v>58.738417779101127</v>
      </c>
      <c r="CF118" s="29">
        <v>8.4497617982027175E-3</v>
      </c>
      <c r="CG118" s="28">
        <v>58.757603430613052</v>
      </c>
      <c r="CH118" s="29">
        <v>7.694926219091687E-3</v>
      </c>
      <c r="CI118" s="28">
        <v>58.776795348708923</v>
      </c>
      <c r="CJ118" s="29">
        <v>6.9869115186837281E-3</v>
      </c>
      <c r="CK118" s="28">
        <v>58.795993535435542</v>
      </c>
      <c r="CL118" s="29">
        <v>6.3244292583528967E-3</v>
      </c>
      <c r="CM118" s="28">
        <v>58.815197992840453</v>
      </c>
      <c r="CN118" s="29">
        <v>5.70614240889359E-3</v>
      </c>
      <c r="CO118" s="28">
        <v>58.834408722971773</v>
      </c>
      <c r="CP118" s="29">
        <v>5.1306667880289848E-3</v>
      </c>
      <c r="CQ118" s="28">
        <v>58.853625727878445</v>
      </c>
      <c r="CR118" s="29">
        <v>4.596572824707411E-3</v>
      </c>
      <c r="CS118" s="28">
        <v>58.872849009609901</v>
      </c>
      <c r="CT118" s="29">
        <v>4.1023876738929673E-3</v>
      </c>
      <c r="CU118" s="28">
        <v>58.892078570216441</v>
      </c>
      <c r="CV118" s="29">
        <v>3.6465977051494615E-3</v>
      </c>
      <c r="CW118" s="28">
        <v>58.911314411748812</v>
      </c>
      <c r="CX118" s="29">
        <v>3.2276513874253177E-3</v>
      </c>
      <c r="CY118" s="28">
        <v>58.930556536258614</v>
      </c>
      <c r="CZ118" s="29">
        <v>2.8439625910020422E-3</v>
      </c>
      <c r="DA118" s="28">
        <v>58.949804945798029</v>
      </c>
      <c r="DB118" s="29">
        <v>2.4939143254432737E-3</v>
      </c>
      <c r="DC118" s="28">
        <v>58.969059642419936</v>
      </c>
      <c r="DD118" s="29">
        <v>2.1758629294704995E-3</v>
      </c>
      <c r="DE118" s="28">
        <v>58.98832062817786</v>
      </c>
      <c r="DF118" s="29">
        <v>1.8881427248680156E-3</v>
      </c>
      <c r="DG118" s="28">
        <v>59.007587905126044</v>
      </c>
      <c r="DH118" s="29">
        <v>1.6290711416471002E-3</v>
      </c>
      <c r="DI118" s="28">
        <v>59.026861475319322</v>
      </c>
      <c r="DJ118" s="29">
        <v>1.3969543156474558E-3</v>
      </c>
      <c r="DK118" s="28">
        <v>59.046141340813271</v>
      </c>
      <c r="DL118" s="29">
        <v>1.1900931523802104E-3</v>
      </c>
      <c r="DM118" s="28">
        <v>59.065427503664132</v>
      </c>
      <c r="DN118" s="29">
        <v>1.0067898420994272E-3</v>
      </c>
      <c r="DO118" s="28">
        <v>59.084719965928812</v>
      </c>
      <c r="DP118" s="29">
        <v>8.4535480071140428E-4</v>
      </c>
      <c r="DQ118" s="28">
        <v>59.104018729664823</v>
      </c>
      <c r="DR118" s="29">
        <v>7.0411399911610715E-4</v>
      </c>
      <c r="DS118" s="28">
        <v>59.123323796930457</v>
      </c>
      <c r="DT118" s="29">
        <v>5.8141662987974295E-4</v>
      </c>
      <c r="DU118" s="28">
        <v>59.142635169784597</v>
      </c>
      <c r="DV118" s="29">
        <v>4.7564304479873713E-4</v>
      </c>
      <c r="DW118" s="28">
        <v>59.161952850286873</v>
      </c>
      <c r="DX118" s="29">
        <v>3.8521288003595314E-4</v>
      </c>
      <c r="DY118" s="28">
        <v>59.181276840497503</v>
      </c>
      <c r="DZ118" s="29">
        <v>3.0859326734145379E-4</v>
      </c>
      <c r="EA118" s="28">
        <v>59.200607142477452</v>
      </c>
      <c r="EB118" s="29">
        <v>2.4430701078272902E-4</v>
      </c>
      <c r="EC118" s="28">
        <v>59.219943758288281</v>
      </c>
      <c r="ED118" s="29">
        <v>1.90940588986204E-4</v>
      </c>
      <c r="EE118" s="28">
        <v>59.239286689992326</v>
      </c>
      <c r="EF118" s="29">
        <v>1.4715182393009642E-4</v>
      </c>
      <c r="EG118" s="28">
        <v>59.258635939652443</v>
      </c>
      <c r="EH118" s="29">
        <v>1.1167703988754347E-4</v>
      </c>
      <c r="EI118" s="28">
        <v>59.277991509332359</v>
      </c>
      <c r="EJ118" s="29">
        <v>8.3337521555850461E-5</v>
      </c>
      <c r="EK118" s="28">
        <v>59.297353401096352</v>
      </c>
      <c r="EL118" s="29">
        <v>6.1045070375699635E-5</v>
      </c>
      <c r="EM118" s="28">
        <v>59.316721617009343</v>
      </c>
      <c r="EN118" s="29">
        <v>4.3806454500275205E-5</v>
      </c>
      <c r="EO118" s="28">
        <v>59.336096159137028</v>
      </c>
      <c r="EP118" s="29">
        <v>3.0726553006790917E-5</v>
      </c>
      <c r="EQ118" s="28">
        <v>59.35547702954571</v>
      </c>
      <c r="ER118" s="29">
        <v>2.1010011076951992E-5</v>
      </c>
      <c r="ES118" s="28">
        <v>59.374864230302421</v>
      </c>
      <c r="ET118" s="29">
        <v>1.3961252273807332E-5</v>
      </c>
      <c r="EU118" s="28">
        <v>59.394257763474798</v>
      </c>
      <c r="EV118" s="29">
        <v>8.982738628300282E-6</v>
      </c>
      <c r="EW118" s="28">
        <v>59.413657631131187</v>
      </c>
      <c r="EX118" s="29">
        <v>5.5714301960159094E-6</v>
      </c>
      <c r="EY118" s="28">
        <v>59.433063835340626</v>
      </c>
      <c r="EZ118" s="29">
        <v>3.313472965713689E-6</v>
      </c>
      <c r="FA118" s="28">
        <v>59.452476378172818</v>
      </c>
      <c r="FB118" s="29">
        <v>1.8772355423012328E-6</v>
      </c>
      <c r="FC118" s="28">
        <v>59.471895261698137</v>
      </c>
      <c r="FD118" s="29">
        <v>1.0049164302570451E-6</v>
      </c>
      <c r="FE118" s="28">
        <v>59.491320487987622</v>
      </c>
      <c r="FF118" s="29">
        <v>5.0304751179415201E-7</v>
      </c>
      <c r="FG118" s="28">
        <v>59.510752059113024</v>
      </c>
      <c r="FH118" s="29">
        <v>2.3231467344950183E-7</v>
      </c>
      <c r="FI118" s="28">
        <v>59.530189977146712</v>
      </c>
      <c r="FJ118" s="29">
        <v>9.718978218438044E-8</v>
      </c>
      <c r="FK118" s="28">
        <v>59.549634244161801</v>
      </c>
      <c r="FL118" s="29">
        <v>3.5903982264317706E-8</v>
      </c>
      <c r="FM118" s="28">
        <v>59.569084862232089</v>
      </c>
      <c r="FN118" s="29">
        <v>1.1276045139369458E-8</v>
      </c>
      <c r="FO118" s="28">
        <v>59.588541833431911</v>
      </c>
      <c r="FP118" s="29">
        <v>2.8313900527273502E-9</v>
      </c>
      <c r="FQ118" s="28">
        <v>59.608005159836459</v>
      </c>
      <c r="FR118" s="29">
        <v>5.0701997094223042E-10</v>
      </c>
      <c r="FS118" s="28">
        <v>59.627474843521505</v>
      </c>
      <c r="FT118" s="29">
        <v>4.8748773661177376E-11</v>
      </c>
      <c r="FU118" s="28">
        <v>59.646950886563502</v>
      </c>
      <c r="FV118" s="29">
        <v>0</v>
      </c>
      <c r="FW118" s="28">
        <v>59.666433291039624</v>
      </c>
      <c r="FX118" s="29">
        <v>0</v>
      </c>
      <c r="FY118" s="28">
        <v>59.685922059027682</v>
      </c>
      <c r="FZ118" s="29">
        <v>0</v>
      </c>
      <c r="GA118" s="28">
        <v>59.705417192606184</v>
      </c>
      <c r="GB118" s="29">
        <v>0</v>
      </c>
      <c r="GC118" s="28">
        <v>59.72491869385432</v>
      </c>
      <c r="GD118" s="29">
        <v>0</v>
      </c>
      <c r="GE118" s="28">
        <v>59.744426564851928</v>
      </c>
      <c r="GF118" s="29">
        <v>0</v>
      </c>
      <c r="GG118" s="28">
        <v>59.763940807679596</v>
      </c>
      <c r="GH118" s="29">
        <v>0</v>
      </c>
      <c r="GI118" s="28">
        <v>59.78346142441854</v>
      </c>
      <c r="GJ118" s="29">
        <v>0</v>
      </c>
      <c r="GK118" s="28">
        <v>59.802988417150608</v>
      </c>
      <c r="GL118" s="29">
        <v>0</v>
      </c>
      <c r="GM118" s="28">
        <v>59.822521787958429</v>
      </c>
      <c r="GN118" s="29">
        <v>0</v>
      </c>
      <c r="GO118" s="28">
        <v>59.842061538925272</v>
      </c>
      <c r="GP118" s="29">
        <v>0</v>
      </c>
      <c r="GQ118" s="28">
        <v>59.861607672135044</v>
      </c>
      <c r="GR118" s="29">
        <v>0</v>
      </c>
      <c r="GS118" s="28">
        <v>59.8811601896724</v>
      </c>
      <c r="GT118" s="29">
        <v>0</v>
      </c>
    </row>
    <row r="119" spans="17:202" x14ac:dyDescent="0.25">
      <c r="AI119" s="28">
        <v>55.781115235617264</v>
      </c>
      <c r="AJ119" s="29">
        <v>2.1596003579244769E-2</v>
      </c>
      <c r="AK119" s="28">
        <v>55.799334947320823</v>
      </c>
      <c r="AL119" s="29">
        <v>2.1603057453257524E-2</v>
      </c>
      <c r="AM119" s="28">
        <v>55.817560610104636</v>
      </c>
      <c r="AN119" s="29">
        <v>2.0564742922181887E-2</v>
      </c>
      <c r="AO119" s="28">
        <v>55.835792225912542</v>
      </c>
      <c r="AP119" s="29">
        <v>1.9495946010949814E-2</v>
      </c>
      <c r="AQ119" s="28">
        <v>55.85402979668892</v>
      </c>
      <c r="AR119" s="29">
        <v>1.8366888173472085E-2</v>
      </c>
      <c r="AS119" s="28">
        <v>55.872273324378888</v>
      </c>
      <c r="AT119" s="29">
        <v>1.7269532644662293E-2</v>
      </c>
      <c r="AU119" s="28">
        <v>55.890522810928083</v>
      </c>
      <c r="AV119" s="29">
        <v>1.6206443376632143E-2</v>
      </c>
      <c r="AW119" s="28">
        <v>55.908778258282894</v>
      </c>
      <c r="AX119" s="29">
        <v>1.5185012963136122E-2</v>
      </c>
      <c r="AY119" s="28">
        <v>55.92703966839025</v>
      </c>
      <c r="AZ119" s="29">
        <v>1.4205323204356024E-2</v>
      </c>
      <c r="BA119" s="28">
        <v>55.945307043197801</v>
      </c>
      <c r="BB119" s="29">
        <v>1.3267399207723126E-2</v>
      </c>
      <c r="BC119" s="28">
        <v>55.963580384653724</v>
      </c>
      <c r="BD119" s="29">
        <v>1.2370683308664518E-2</v>
      </c>
      <c r="BE119" s="28">
        <v>55.981859694706969</v>
      </c>
      <c r="BF119" s="29">
        <v>1.1514559858414231E-2</v>
      </c>
      <c r="BG119" s="28">
        <v>56.000144975307016</v>
      </c>
      <c r="BH119" s="29">
        <v>1.0698345155481128E-2</v>
      </c>
      <c r="BI119" s="28">
        <v>56.018436228404013</v>
      </c>
      <c r="BJ119" s="29">
        <v>9.9213223567237111E-3</v>
      </c>
      <c r="BK119" s="28">
        <v>56.036733455948749</v>
      </c>
      <c r="BL119" s="29">
        <v>9.1827424213637605E-3</v>
      </c>
      <c r="BM119" s="28">
        <v>56.055036659892664</v>
      </c>
      <c r="BN119" s="29">
        <v>8.4818263383742466E-3</v>
      </c>
      <c r="BO119" s="28">
        <v>56.073345842187791</v>
      </c>
      <c r="BP119" s="29">
        <v>7.8177654923041236E-3</v>
      </c>
      <c r="BQ119" s="28">
        <v>56.091661004786893</v>
      </c>
      <c r="BR119" s="29">
        <v>7.1897221244157823E-3</v>
      </c>
      <c r="BS119" s="28">
        <v>56.109982149643251</v>
      </c>
      <c r="BT119" s="29">
        <v>6.5968298122096453E-3</v>
      </c>
      <c r="BU119" s="28">
        <v>56.128309278710844</v>
      </c>
      <c r="BV119" s="29">
        <v>6.0381940710882067E-3</v>
      </c>
      <c r="BW119" s="28">
        <v>56.146642393944326</v>
      </c>
      <c r="BX119" s="29">
        <v>5.5128930849582909E-3</v>
      </c>
      <c r="BY119" s="28">
        <v>56.164981497298889</v>
      </c>
      <c r="BZ119" s="29">
        <v>5.0199785739847942E-3</v>
      </c>
      <c r="CA119" s="28">
        <v>56.183326590730481</v>
      </c>
      <c r="CB119" s="29">
        <v>4.5584768116540102E-3</v>
      </c>
      <c r="CC119" s="28">
        <v>56.201677676195636</v>
      </c>
      <c r="CD119" s="29">
        <v>4.1273897998293499E-3</v>
      </c>
      <c r="CE119" s="28">
        <v>56.22003475565149</v>
      </c>
      <c r="CF119" s="29">
        <v>3.7256966102994656E-3</v>
      </c>
      <c r="CG119" s="28">
        <v>56.238397831055842</v>
      </c>
      <c r="CH119" s="29">
        <v>3.3523549009790089E-3</v>
      </c>
      <c r="CI119" s="28">
        <v>56.256766904367204</v>
      </c>
      <c r="CJ119" s="29">
        <v>3.0063026142707469E-3</v>
      </c>
      <c r="CK119" s="28">
        <v>56.275141977544607</v>
      </c>
      <c r="CL119" s="29">
        <v>2.6864598643491716E-3</v>
      </c>
      <c r="CM119" s="28">
        <v>56.293523052547819</v>
      </c>
      <c r="CN119" s="29">
        <v>2.3917310191431504E-3</v>
      </c>
      <c r="CO119" s="28">
        <v>56.311910131337136</v>
      </c>
      <c r="CP119" s="29">
        <v>2.1210069815599704E-3</v>
      </c>
      <c r="CQ119" s="28">
        <v>56.330303215873663</v>
      </c>
      <c r="CR119" s="29">
        <v>1.8731676729661008E-3</v>
      </c>
      <c r="CS119" s="28">
        <v>56.348702308118952</v>
      </c>
      <c r="CT119" s="29">
        <v>1.6470847201005803E-3</v>
      </c>
      <c r="CU119" s="28">
        <v>56.367107410035402</v>
      </c>
      <c r="CV119" s="29">
        <v>1.4416243443958127E-3</v>
      </c>
      <c r="CW119" s="28">
        <v>56.385518523585844</v>
      </c>
      <c r="CX119" s="29">
        <v>1.2556504501029411E-3</v>
      </c>
      <c r="CY119" s="28">
        <v>56.403935650733906</v>
      </c>
      <c r="CZ119" s="29">
        <v>1.0880279046210084E-3</v>
      </c>
      <c r="DA119" s="28">
        <v>56.422358793443784</v>
      </c>
      <c r="DB119" s="29">
        <v>9.3762600099758385E-4</v>
      </c>
      <c r="DC119" s="28">
        <v>56.440787953680342</v>
      </c>
      <c r="DD119" s="29">
        <v>8.0332208867851319E-4</v>
      </c>
      <c r="DE119" s="28">
        <v>56.459223133409068</v>
      </c>
      <c r="DF119" s="29">
        <v>6.8400535423055191E-4</v>
      </c>
      <c r="DG119" s="28">
        <v>56.477664334596128</v>
      </c>
      <c r="DH119" s="29">
        <v>5.7858072894742779E-4</v>
      </c>
      <c r="DI119" s="28">
        <v>56.496111559208245</v>
      </c>
      <c r="DJ119" s="29">
        <v>4.8597289500125186E-4</v>
      </c>
      <c r="DK119" s="28">
        <v>56.514564809212871</v>
      </c>
      <c r="DL119" s="29">
        <v>4.0513035615921959E-4</v>
      </c>
      <c r="DM119" s="28">
        <v>56.533024086578095</v>
      </c>
      <c r="DN119" s="29">
        <v>3.3502953312784898E-4</v>
      </c>
      <c r="DO119" s="28">
        <v>56.551489393272618</v>
      </c>
      <c r="DP119" s="29">
        <v>2.7467883741878128E-4</v>
      </c>
      <c r="DQ119" s="28">
        <v>56.569960731265752</v>
      </c>
      <c r="DR119" s="29">
        <v>2.231226714015527E-4</v>
      </c>
      <c r="DS119" s="28">
        <v>56.588438102527533</v>
      </c>
      <c r="DT119" s="29">
        <v>1.7944529611830799E-4</v>
      </c>
      <c r="DU119" s="28">
        <v>56.606921509028574</v>
      </c>
      <c r="DV119" s="29">
        <v>1.4277450273388404E-4</v>
      </c>
      <c r="DW119" s="28">
        <v>56.625410952740197</v>
      </c>
      <c r="DX119" s="29">
        <v>1.1228501849527547E-4</v>
      </c>
      <c r="DY119" s="28">
        <v>56.643906435634293</v>
      </c>
      <c r="DZ119" s="29">
        <v>8.7201574152377532E-5</v>
      </c>
      <c r="EA119" s="28">
        <v>56.662407959683456</v>
      </c>
      <c r="EB119" s="29">
        <v>6.6801557385453127E-5</v>
      </c>
      <c r="EC119" s="28">
        <v>56.680915526860872</v>
      </c>
      <c r="ED119" s="29">
        <v>5.0417176389944062E-5</v>
      </c>
      <c r="EE119" s="28">
        <v>56.699429139140435</v>
      </c>
      <c r="EF119" s="29">
        <v>3.7437059924965991E-5</v>
      </c>
      <c r="EG119" s="28">
        <v>56.717948798496579</v>
      </c>
      <c r="EH119" s="29">
        <v>2.7307225398694221E-5</v>
      </c>
      <c r="EI119" s="28">
        <v>56.736474506904536</v>
      </c>
      <c r="EJ119" s="29">
        <v>1.9531355486650004E-5</v>
      </c>
      <c r="EK119" s="28">
        <v>56.755006266340075</v>
      </c>
      <c r="EL119" s="29">
        <v>1.367033683371534E-5</v>
      </c>
      <c r="EM119" s="28">
        <v>56.773544078779601</v>
      </c>
      <c r="EN119" s="29">
        <v>9.3410319180600707E-6</v>
      </c>
      <c r="EO119" s="28">
        <v>56.792087946200233</v>
      </c>
      <c r="EP119" s="29">
        <v>6.2142772687326048E-6</v>
      </c>
      <c r="EQ119" s="28">
        <v>56.810637870579683</v>
      </c>
      <c r="ER119" s="29">
        <v>4.0121277132863066E-6</v>
      </c>
      <c r="ES119" s="28">
        <v>56.829193853896363</v>
      </c>
      <c r="ET119" s="29">
        <v>2.5043965273824154E-6</v>
      </c>
      <c r="EU119" s="28">
        <v>56.847755898129257</v>
      </c>
      <c r="EV119" s="29">
        <v>1.5045740480348313E-6</v>
      </c>
      <c r="EW119" s="28">
        <v>56.866324005258029</v>
      </c>
      <c r="EX119" s="29">
        <v>8.6524063204386593E-7</v>
      </c>
      <c r="EY119" s="28">
        <v>56.884898177263018</v>
      </c>
      <c r="EZ119" s="29">
        <v>4.7312124338336489E-7</v>
      </c>
      <c r="FA119" s="28">
        <v>56.903478416125189</v>
      </c>
      <c r="FB119" s="29">
        <v>2.4395526045695763E-7</v>
      </c>
      <c r="FC119" s="28">
        <v>56.922064723826139</v>
      </c>
      <c r="FD119" s="29">
        <v>1.1737269324190296E-7</v>
      </c>
      <c r="FE119" s="28">
        <v>56.940657102348119</v>
      </c>
      <c r="FF119" s="29">
        <v>5.1973218366745806E-8</v>
      </c>
      <c r="FG119" s="28">
        <v>56.959255553674055</v>
      </c>
      <c r="FH119" s="29">
        <v>2.0794130356375285E-8</v>
      </c>
      <c r="FI119" s="28">
        <v>56.977860079787462</v>
      </c>
      <c r="FJ119" s="29">
        <v>7.325629818934486E-9</v>
      </c>
      <c r="FK119" s="28">
        <v>56.996470682672566</v>
      </c>
      <c r="FL119" s="29">
        <v>2.1871791112069705E-9</v>
      </c>
      <c r="FM119" s="28">
        <v>57.015087364314262</v>
      </c>
      <c r="FN119" s="29">
        <v>5.2030248177704114E-10</v>
      </c>
      <c r="FO119" s="28">
        <v>57.033710126697947</v>
      </c>
      <c r="FP119" s="29">
        <v>8.793319500060453E-11</v>
      </c>
      <c r="FQ119" s="28">
        <v>57.052338971809839</v>
      </c>
      <c r="FR119" s="29">
        <v>7.9454832448288942E-12</v>
      </c>
      <c r="FS119" s="28">
        <v>57.070973901636705</v>
      </c>
      <c r="FT119" s="29">
        <v>0</v>
      </c>
      <c r="FU119" s="28">
        <v>57.089614918165978</v>
      </c>
      <c r="FV119" s="29">
        <v>0</v>
      </c>
      <c r="FW119" s="28">
        <v>57.108262023385777</v>
      </c>
      <c r="FX119" s="29">
        <v>0</v>
      </c>
      <c r="FY119" s="28">
        <v>57.126915219284818</v>
      </c>
      <c r="FZ119" s="29">
        <v>0</v>
      </c>
      <c r="GA119" s="28">
        <v>57.145574507852501</v>
      </c>
      <c r="GB119" s="29">
        <v>0</v>
      </c>
      <c r="GC119" s="28">
        <v>57.164239891078871</v>
      </c>
      <c r="GD119" s="29">
        <v>0</v>
      </c>
      <c r="GE119" s="28">
        <v>57.182911370954599</v>
      </c>
      <c r="GF119" s="29">
        <v>0</v>
      </c>
      <c r="GG119" s="28">
        <v>57.201588949471052</v>
      </c>
      <c r="GH119" s="29">
        <v>0</v>
      </c>
      <c r="GI119" s="28">
        <v>57.220272628620236</v>
      </c>
      <c r="GJ119" s="29">
        <v>0</v>
      </c>
      <c r="GK119" s="28">
        <v>57.238962410394727</v>
      </c>
      <c r="GL119" s="29">
        <v>0</v>
      </c>
      <c r="GM119" s="28">
        <v>57.257658296787859</v>
      </c>
      <c r="GN119" s="29">
        <v>0</v>
      </c>
      <c r="GO119" s="28">
        <v>57.276360289793594</v>
      </c>
      <c r="GP119" s="29">
        <v>0</v>
      </c>
      <c r="GQ119" s="28">
        <v>57.295068391406488</v>
      </c>
      <c r="GR119" s="29">
        <v>0</v>
      </c>
      <c r="GS119" s="28">
        <v>57.313782603621817</v>
      </c>
      <c r="GT119" s="29">
        <v>0</v>
      </c>
    </row>
    <row r="120" spans="17:202" x14ac:dyDescent="0.25">
      <c r="AM120" s="28">
        <v>53.424408013119411</v>
      </c>
      <c r="AN120" s="29">
        <v>9.1885207969906024E-3</v>
      </c>
      <c r="AO120" s="28">
        <v>53.441857956667889</v>
      </c>
      <c r="AP120" s="29">
        <v>9.1915220313545307E-3</v>
      </c>
      <c r="AQ120" s="28">
        <v>53.459313599868267</v>
      </c>
      <c r="AR120" s="29">
        <v>9.1945242460076595E-3</v>
      </c>
      <c r="AS120" s="28">
        <v>53.476774944582267</v>
      </c>
      <c r="AT120" s="29">
        <v>8.6615678902095469E-3</v>
      </c>
      <c r="AU120" s="28">
        <v>53.494241992672102</v>
      </c>
      <c r="AV120" s="29">
        <v>8.1215228312048592E-3</v>
      </c>
      <c r="AW120" s="28">
        <v>53.51171474600072</v>
      </c>
      <c r="AX120" s="29">
        <v>7.5606512903806274E-3</v>
      </c>
      <c r="AY120" s="28">
        <v>53.529193206431572</v>
      </c>
      <c r="AZ120" s="29">
        <v>7.0222874311233301E-3</v>
      </c>
      <c r="BA120" s="28">
        <v>53.5466773758288</v>
      </c>
      <c r="BB120" s="29">
        <v>6.507191229671137E-3</v>
      </c>
      <c r="BC120" s="28">
        <v>53.564167256057054</v>
      </c>
      <c r="BD120" s="29">
        <v>6.0181196575768529E-3</v>
      </c>
      <c r="BE120" s="28">
        <v>53.581662848981736</v>
      </c>
      <c r="BF120" s="29">
        <v>5.5546824476997809E-3</v>
      </c>
      <c r="BG120" s="28">
        <v>53.599164156468724</v>
      </c>
      <c r="BH120" s="29">
        <v>5.1164583570419914E-3</v>
      </c>
      <c r="BI120" s="28">
        <v>53.616671180384571</v>
      </c>
      <c r="BJ120" s="29">
        <v>4.7028000823514261E-3</v>
      </c>
      <c r="BK120" s="28">
        <v>53.634183922596414</v>
      </c>
      <c r="BL120" s="29">
        <v>4.3130362139618397E-3</v>
      </c>
      <c r="BM120" s="28">
        <v>53.65170238497204</v>
      </c>
      <c r="BN120" s="29">
        <v>3.9464689730145048E-3</v>
      </c>
      <c r="BO120" s="28">
        <v>53.669226569379774</v>
      </c>
      <c r="BP120" s="29">
        <v>3.6023867163004568E-3</v>
      </c>
      <c r="BQ120" s="28">
        <v>53.686756477688661</v>
      </c>
      <c r="BR120" s="29">
        <v>3.280065075049356E-3</v>
      </c>
      <c r="BS120" s="28">
        <v>53.70429211176824</v>
      </c>
      <c r="BT120" s="29">
        <v>2.9787684925187607E-3</v>
      </c>
      <c r="BU120" s="28">
        <v>53.721833473488715</v>
      </c>
      <c r="BV120" s="29">
        <v>2.6977512896058302E-3</v>
      </c>
      <c r="BW120" s="28">
        <v>53.739380564720925</v>
      </c>
      <c r="BX120" s="29">
        <v>2.4362588266112124E-3</v>
      </c>
      <c r="BY120" s="28">
        <v>53.756933387336247</v>
      </c>
      <c r="BZ120" s="29">
        <v>2.1935287531619518E-3</v>
      </c>
      <c r="CA120" s="28">
        <v>53.774491943206755</v>
      </c>
      <c r="CB120" s="29">
        <v>1.9687923305441624E-3</v>
      </c>
      <c r="CC120" s="28">
        <v>53.792056234205113</v>
      </c>
      <c r="CD120" s="29">
        <v>1.7612758464617443E-3</v>
      </c>
      <c r="CE120" s="28">
        <v>53.809626262204532</v>
      </c>
      <c r="CF120" s="29">
        <v>1.5702021214549684E-3</v>
      </c>
      <c r="CG120" s="28">
        <v>53.827202029078876</v>
      </c>
      <c r="CH120" s="29">
        <v>1.3947921055193924E-3</v>
      </c>
      <c r="CI120" s="28">
        <v>53.844783536702685</v>
      </c>
      <c r="CJ120" s="29">
        <v>1.2342665630294706E-3</v>
      </c>
      <c r="CK120" s="28">
        <v>53.862370786950997</v>
      </c>
      <c r="CL120" s="29">
        <v>1.0878478423952075E-3</v>
      </c>
      <c r="CM120" s="28">
        <v>53.879963781699566</v>
      </c>
      <c r="CN120" s="29">
        <v>9.5476172559513979E-4</v>
      </c>
      <c r="CO120" s="28">
        <v>53.897562522824629</v>
      </c>
      <c r="CP120" s="29">
        <v>8.3423935130455312E-4</v>
      </c>
      <c r="CQ120" s="28">
        <v>53.91516701220322</v>
      </c>
      <c r="CR120" s="29">
        <v>7.2551920375953072E-4</v>
      </c>
      <c r="CS120" s="28">
        <v>53.932777251712778</v>
      </c>
      <c r="CT120" s="29">
        <v>6.2784915779157883E-4</v>
      </c>
      <c r="CU120" s="28">
        <v>53.950393243231574</v>
      </c>
      <c r="CV120" s="29">
        <v>5.4048856863226269E-4</v>
      </c>
      <c r="CW120" s="28">
        <v>53.968014988638281</v>
      </c>
      <c r="CX120" s="29">
        <v>4.6271039313475014E-4</v>
      </c>
      <c r="CY120" s="28">
        <v>53.985642489812335</v>
      </c>
      <c r="CZ120" s="29">
        <v>3.9380332700956447E-4</v>
      </c>
      <c r="DA120" s="28">
        <v>54.003275748633726</v>
      </c>
      <c r="DB120" s="29">
        <v>3.3307394055099383E-4</v>
      </c>
      <c r="DC120" s="28">
        <v>54.020914766983061</v>
      </c>
      <c r="DD120" s="29">
        <v>2.7984879317679765E-4</v>
      </c>
      <c r="DE120" s="28">
        <v>54.038559546741574</v>
      </c>
      <c r="DF120" s="29">
        <v>2.3347650496121443E-4</v>
      </c>
      <c r="DG120" s="28">
        <v>54.056210089791122</v>
      </c>
      <c r="DH120" s="29">
        <v>1.9332976127201714E-4</v>
      </c>
      <c r="DI120" s="28">
        <v>54.073866398014118</v>
      </c>
      <c r="DJ120" s="29">
        <v>1.588072246950228E-4</v>
      </c>
      <c r="DK120" s="28">
        <v>54.091528473293643</v>
      </c>
      <c r="DL120" s="29">
        <v>1.2933532673275157E-4</v>
      </c>
      <c r="DM120" s="28">
        <v>54.109196317513415</v>
      </c>
      <c r="DN120" s="29">
        <v>1.0436991039750921E-4</v>
      </c>
      <c r="DO120" s="28">
        <v>54.126869932557732</v>
      </c>
      <c r="DP120" s="29">
        <v>8.3397693897564233E-5</v>
      </c>
      <c r="DQ120" s="28">
        <v>54.144549320311462</v>
      </c>
      <c r="DR120" s="29">
        <v>6.5937525268739192E-5</v>
      </c>
      <c r="DS120" s="28">
        <v>54.162234482660182</v>
      </c>
      <c r="DT120" s="29">
        <v>5.1541398170419589E-5</v>
      </c>
      <c r="DU120" s="28">
        <v>54.179925421490012</v>
      </c>
      <c r="DV120" s="29">
        <v>3.979520029266444E-5</v>
      </c>
      <c r="DW120" s="28">
        <v>54.197622138687763</v>
      </c>
      <c r="DX120" s="29">
        <v>3.0319168056787899E-5</v>
      </c>
      <c r="DY120" s="28">
        <v>54.215324636140778</v>
      </c>
      <c r="DZ120" s="29">
        <v>2.2768024675248847E-5</v>
      </c>
      <c r="EA120" s="28">
        <v>54.233032915737077</v>
      </c>
      <c r="EB120" s="29">
        <v>1.6830783288184588E-5</v>
      </c>
      <c r="EC120" s="28">
        <v>54.250746979365246</v>
      </c>
      <c r="ED120" s="29">
        <v>1.2230202899618202E-5</v>
      </c>
      <c r="EE120" s="28">
        <v>54.268466828914548</v>
      </c>
      <c r="EF120" s="29">
        <v>8.721892229378218E-6</v>
      </c>
      <c r="EG120" s="28">
        <v>54.286192466274763</v>
      </c>
      <c r="EH120" s="29">
        <v>6.0930653379125299E-6</v>
      </c>
      <c r="EI120" s="28">
        <v>54.303923893336439</v>
      </c>
      <c r="EJ120" s="29">
        <v>4.1609628337633383E-6</v>
      </c>
      <c r="EK120" s="28">
        <v>54.321661111990636</v>
      </c>
      <c r="EL120" s="29">
        <v>2.7709633818946445E-6</v>
      </c>
      <c r="EM120" s="28">
        <v>54.339404124129018</v>
      </c>
      <c r="EN120" s="29">
        <v>1.7944216986787947E-6</v>
      </c>
      <c r="EO120" s="28">
        <v>54.357152931643938</v>
      </c>
      <c r="EP120" s="29">
        <v>1.126280694767718E-6</v>
      </c>
      <c r="EQ120" s="28">
        <v>54.37490753642831</v>
      </c>
      <c r="ER120" s="29">
        <v>6.8251620125649728E-7</v>
      </c>
      <c r="ES120" s="28">
        <v>54.39266794037573</v>
      </c>
      <c r="ET120" s="29">
        <v>3.974819368121945E-7</v>
      </c>
      <c r="EU120" s="28">
        <v>54.410434145380329</v>
      </c>
      <c r="EV120" s="29">
        <v>2.2122909305968466E-7</v>
      </c>
      <c r="EW120" s="28">
        <v>54.428206153336887</v>
      </c>
      <c r="EX120" s="29">
        <v>1.1687815580548573E-7</v>
      </c>
      <c r="EY120" s="28">
        <v>54.445983966140858</v>
      </c>
      <c r="EZ120" s="29">
        <v>5.8119449265227893E-8</v>
      </c>
      <c r="FA120" s="28">
        <v>54.463767585688252</v>
      </c>
      <c r="FB120" s="29">
        <v>2.6912730677733081E-8</v>
      </c>
      <c r="FC120" s="28">
        <v>54.481557013875715</v>
      </c>
      <c r="FD120" s="29">
        <v>1.1444721394841705E-8</v>
      </c>
      <c r="FE120" s="28">
        <v>54.499352252600509</v>
      </c>
      <c r="FF120" s="29">
        <v>4.3870694688824932E-9</v>
      </c>
      <c r="FG120" s="28">
        <v>54.517153303760551</v>
      </c>
      <c r="FH120" s="29">
        <v>1.4769555827070954E-9</v>
      </c>
      <c r="FI120" s="28">
        <v>54.534960169254298</v>
      </c>
      <c r="FJ120" s="29">
        <v>4.2021481130880245E-10</v>
      </c>
      <c r="FK120" s="28">
        <v>54.552772850980915</v>
      </c>
      <c r="FL120" s="29">
        <v>9.4965136404163762E-11</v>
      </c>
      <c r="FM120" s="28">
        <v>54.570591350840196</v>
      </c>
      <c r="FN120" s="29">
        <v>1.5195084891659457E-11</v>
      </c>
      <c r="FO120" s="28">
        <v>54.588415670732402</v>
      </c>
      <c r="FP120" s="29">
        <v>1.2950213770025526E-12</v>
      </c>
      <c r="FQ120" s="28">
        <v>54.606245812558605</v>
      </c>
      <c r="FR120" s="29">
        <v>0</v>
      </c>
      <c r="FS120" s="28">
        <v>54.624081778220393</v>
      </c>
      <c r="FT120" s="29">
        <v>0</v>
      </c>
      <c r="FU120" s="28">
        <v>54.641923569619976</v>
      </c>
      <c r="FV120" s="29">
        <v>0</v>
      </c>
      <c r="FW120" s="28">
        <v>54.659771188660244</v>
      </c>
      <c r="FX120" s="29">
        <v>0</v>
      </c>
      <c r="FY120" s="28">
        <v>54.677624637244641</v>
      </c>
      <c r="FZ120" s="29">
        <v>0</v>
      </c>
      <c r="GA120" s="28">
        <v>54.695483917277279</v>
      </c>
      <c r="GB120" s="29">
        <v>0</v>
      </c>
      <c r="GC120" s="28">
        <v>54.713349030662869</v>
      </c>
      <c r="GD120" s="29">
        <v>0</v>
      </c>
      <c r="GE120" s="28">
        <v>54.731219979306751</v>
      </c>
      <c r="GF120" s="29">
        <v>0</v>
      </c>
      <c r="GG120" s="28">
        <v>54.749096765114892</v>
      </c>
      <c r="GH120" s="29">
        <v>0</v>
      </c>
      <c r="GI120" s="28">
        <v>54.766979389993907</v>
      </c>
      <c r="GJ120" s="29">
        <v>0</v>
      </c>
      <c r="GK120" s="28">
        <v>54.784867855850941</v>
      </c>
      <c r="GL120" s="29">
        <v>0</v>
      </c>
      <c r="GM120" s="28">
        <v>54.802762164593858</v>
      </c>
      <c r="GN120" s="29">
        <v>0</v>
      </c>
      <c r="GO120" s="28">
        <v>54.820662318131127</v>
      </c>
      <c r="GP120" s="29">
        <v>0</v>
      </c>
      <c r="GQ120" s="28">
        <v>54.838568318371799</v>
      </c>
      <c r="GR120" s="29">
        <v>0</v>
      </c>
      <c r="GS120" s="28">
        <v>54.856480167225591</v>
      </c>
      <c r="GT120" s="29">
        <v>0</v>
      </c>
    </row>
    <row r="121" spans="17:202" x14ac:dyDescent="0.25">
      <c r="AS121" s="28">
        <v>51.183982471421885</v>
      </c>
      <c r="AT121" s="29">
        <v>3.5689823773693225E-3</v>
      </c>
      <c r="AU121" s="28">
        <v>51.200700627746457</v>
      </c>
      <c r="AV121" s="29">
        <v>3.5701481093507663E-3</v>
      </c>
      <c r="AW121" s="28">
        <v>51.21742424470029</v>
      </c>
      <c r="AX121" s="29">
        <v>3.5713142220937014E-3</v>
      </c>
      <c r="AY121" s="28">
        <v>51.234153324066938</v>
      </c>
      <c r="AZ121" s="29">
        <v>3.3221492482458036E-3</v>
      </c>
      <c r="BA121" s="28">
        <v>51.250887867630617</v>
      </c>
      <c r="BB121" s="29">
        <v>3.0741286906622194E-3</v>
      </c>
      <c r="BC121" s="28">
        <v>51.267627877176025</v>
      </c>
      <c r="BD121" s="29">
        <v>2.8214602659922842E-3</v>
      </c>
      <c r="BE121" s="28">
        <v>51.284373354488601</v>
      </c>
      <c r="BF121" s="29">
        <v>2.5824503777051519E-3</v>
      </c>
      <c r="BG121" s="28">
        <v>51.301124301354214</v>
      </c>
      <c r="BH121" s="29">
        <v>2.357110081995773E-3</v>
      </c>
      <c r="BI121" s="28">
        <v>51.31788071955939</v>
      </c>
      <c r="BJ121" s="29">
        <v>2.1461848987300689E-3</v>
      </c>
      <c r="BK121" s="28">
        <v>51.334642610891208</v>
      </c>
      <c r="BL121" s="29">
        <v>1.949217994957815E-3</v>
      </c>
      <c r="BM121" s="28">
        <v>51.351409977137394</v>
      </c>
      <c r="BN121" s="29">
        <v>1.7657428524794543E-3</v>
      </c>
      <c r="BO121" s="28">
        <v>51.368182820086147</v>
      </c>
      <c r="BP121" s="29">
        <v>1.5952206945190844E-3</v>
      </c>
      <c r="BQ121" s="28">
        <v>51.384961141526389</v>
      </c>
      <c r="BR121" s="29">
        <v>1.4371090207915584E-3</v>
      </c>
      <c r="BS121" s="28">
        <v>51.4017449432475</v>
      </c>
      <c r="BT121" s="29">
        <v>1.2908618188423523E-3</v>
      </c>
      <c r="BU121" s="28">
        <v>51.418534227039508</v>
      </c>
      <c r="BV121" s="29">
        <v>1.1559338473748043E-3</v>
      </c>
      <c r="BW121" s="28">
        <v>51.435328994693023</v>
      </c>
      <c r="BX121" s="29">
        <v>1.0317816482836013E-3</v>
      </c>
      <c r="BY121" s="28">
        <v>51.452129247999203</v>
      </c>
      <c r="BZ121" s="29">
        <v>9.1786464705051333E-4</v>
      </c>
      <c r="CA121" s="28">
        <v>51.468934988749858</v>
      </c>
      <c r="CB121" s="29">
        <v>8.1364634458460012E-4</v>
      </c>
      <c r="CC121" s="28">
        <v>51.485746218737354</v>
      </c>
      <c r="CD121" s="29">
        <v>7.1859542135520023E-4</v>
      </c>
      <c r="CE121" s="28">
        <v>51.50256293975459</v>
      </c>
      <c r="CF121" s="29">
        <v>6.321868662449194E-4</v>
      </c>
      <c r="CG121" s="28">
        <v>51.519385153595096</v>
      </c>
      <c r="CH121" s="29">
        <v>5.539031235119857E-4</v>
      </c>
      <c r="CI121" s="28">
        <v>51.536212862053034</v>
      </c>
      <c r="CJ121" s="29">
        <v>4.8323524952318135E-4</v>
      </c>
      <c r="CK121" s="28">
        <v>51.553046066923052</v>
      </c>
      <c r="CL121" s="29">
        <v>4.1968407564028432E-4</v>
      </c>
      <c r="CM121" s="28">
        <v>51.569884770000485</v>
      </c>
      <c r="CN121" s="29">
        <v>3.6276136975250224E-4</v>
      </c>
      <c r="CO121" s="28">
        <v>51.586728973081129</v>
      </c>
      <c r="CP121" s="29">
        <v>3.119909881726566E-4</v>
      </c>
      <c r="CQ121" s="28">
        <v>51.603578677961536</v>
      </c>
      <c r="CR121" s="29">
        <v>2.6691000888021013E-4</v>
      </c>
      <c r="CS121" s="28">
        <v>51.620433886438654</v>
      </c>
      <c r="CT121" s="29">
        <v>2.2706983626556262E-4</v>
      </c>
      <c r="CU121" s="28">
        <v>51.63729460031022</v>
      </c>
      <c r="CV121" s="29">
        <v>1.9203726679885728E-4</v>
      </c>
      <c r="CW121" s="28">
        <v>51.654160821374361</v>
      </c>
      <c r="CX121" s="29">
        <v>1.6139550437931541E-4</v>
      </c>
      <c r="CY121" s="28">
        <v>51.671032551429938</v>
      </c>
      <c r="CZ121" s="29">
        <v>1.3474511354451526E-4</v>
      </c>
      <c r="DA121" s="28">
        <v>51.687909792276329</v>
      </c>
      <c r="DB121" s="29">
        <v>1.1170489826510653E-4</v>
      </c>
      <c r="DC121" s="28">
        <v>51.704792545713516</v>
      </c>
      <c r="DD121" s="29">
        <v>9.1912693752908023E-5</v>
      </c>
      <c r="DE121" s="28">
        <v>51.721680813542079</v>
      </c>
      <c r="DF121" s="29">
        <v>7.5026058606492526E-5</v>
      </c>
      <c r="DG121" s="28">
        <v>51.738574597563186</v>
      </c>
      <c r="DH121" s="29">
        <v>6.0722854749550943E-5</v>
      </c>
      <c r="DI121" s="28">
        <v>51.755473899578547</v>
      </c>
      <c r="DJ121" s="29">
        <v>4.8701703024093781E-5</v>
      </c>
      <c r="DK121" s="28">
        <v>51.772378721390503</v>
      </c>
      <c r="DL121" s="29">
        <v>3.8682303026905848E-5</v>
      </c>
      <c r="DM121" s="28">
        <v>51.789289064802006</v>
      </c>
      <c r="DN121" s="29">
        <v>3.0405606863141883E-5</v>
      </c>
      <c r="DO121" s="28">
        <v>51.80620493161657</v>
      </c>
      <c r="DP121" s="29">
        <v>2.3633837973761929E-5</v>
      </c>
      <c r="DQ121" s="28">
        <v>51.823126323638249</v>
      </c>
      <c r="DR121" s="29">
        <v>1.8150348103284104E-5</v>
      </c>
      <c r="DS121" s="28">
        <v>51.840053242671779</v>
      </c>
      <c r="DT121" s="29">
        <v>1.3759307830869239E-5</v>
      </c>
      <c r="DU121" s="28">
        <v>51.856985690522407</v>
      </c>
      <c r="DV121" s="29">
        <v>1.0285228895913551E-5</v>
      </c>
      <c r="DW121" s="28">
        <v>51.873923668996056</v>
      </c>
      <c r="DX121" s="29">
        <v>7.5723197943422859E-6</v>
      </c>
      <c r="DY121" s="28">
        <v>51.890867179899139</v>
      </c>
      <c r="DZ121" s="29">
        <v>5.4836797637389991E-6</v>
      </c>
      <c r="EA121" s="28">
        <v>51.907816225038744</v>
      </c>
      <c r="EB121" s="29">
        <v>3.9003402447855668E-6</v>
      </c>
      <c r="EC121" s="28">
        <v>51.924770806222469</v>
      </c>
      <c r="ED121" s="29">
        <v>2.7201670983998827E-6</v>
      </c>
      <c r="EE121" s="28">
        <v>51.941730925258589</v>
      </c>
      <c r="EF121" s="29">
        <v>1.8566411295665373E-6</v>
      </c>
      <c r="EG121" s="28">
        <v>51.958696583955849</v>
      </c>
      <c r="EH121" s="29">
        <v>1.2375386367409135E-6</v>
      </c>
      <c r="EI121" s="28">
        <v>51.975667784123743</v>
      </c>
      <c r="EJ121" s="29">
        <v>8.0353754821514124E-7</v>
      </c>
      <c r="EK121" s="28">
        <v>51.99264452757226</v>
      </c>
      <c r="EL121" s="29">
        <v>5.0677796905998823E-7</v>
      </c>
      <c r="EM121" s="28">
        <v>52.009626816111954</v>
      </c>
      <c r="EN121" s="29">
        <v>3.0940836804912555E-7</v>
      </c>
      <c r="EO121" s="28">
        <v>52.026614651554048</v>
      </c>
      <c r="EP121" s="29">
        <v>1.8214990360186891E-7</v>
      </c>
      <c r="EQ121" s="28">
        <v>52.043608035710292</v>
      </c>
      <c r="ER121" s="29">
        <v>1.0291126366691319E-7</v>
      </c>
      <c r="ES121" s="28">
        <v>52.060606970393096</v>
      </c>
      <c r="ET121" s="29">
        <v>5.5484673664865087E-8</v>
      </c>
      <c r="EU121" s="28">
        <v>52.077611457415387</v>
      </c>
      <c r="EV121" s="29">
        <v>2.8350298992560488E-8</v>
      </c>
      <c r="EW121" s="28">
        <v>52.094621498590705</v>
      </c>
      <c r="EX121" s="29">
        <v>1.361115692892518E-8</v>
      </c>
      <c r="EY121" s="28">
        <v>52.111637095733229</v>
      </c>
      <c r="EZ121" s="29">
        <v>6.0740487513793164E-9</v>
      </c>
      <c r="FA121" s="28">
        <v>52.128658250657693</v>
      </c>
      <c r="FB121" s="29">
        <v>2.4843105574739696E-9</v>
      </c>
      <c r="FC121" s="28">
        <v>52.145684965179413</v>
      </c>
      <c r="FD121" s="29">
        <v>9.1393767343311171E-10</v>
      </c>
      <c r="FE121" s="28">
        <v>52.162717241114315</v>
      </c>
      <c r="FF121" s="29">
        <v>2.9459922610093413E-10</v>
      </c>
      <c r="FG121" s="28">
        <v>52.179755080278937</v>
      </c>
      <c r="FH121" s="29">
        <v>8.0047483078030169E-11</v>
      </c>
      <c r="FI121" s="28">
        <v>52.196798484490337</v>
      </c>
      <c r="FJ121" s="29">
        <v>1.7228215725091463E-11</v>
      </c>
      <c r="FK121" s="28">
        <v>52.213847455566274</v>
      </c>
      <c r="FL121" s="29">
        <v>2.6172805583539255E-12</v>
      </c>
      <c r="FM121" s="28">
        <v>52.230901995325063</v>
      </c>
      <c r="FN121" s="29">
        <v>2.1107342564532428E-13</v>
      </c>
      <c r="FO121" s="28">
        <v>52.247962105585515</v>
      </c>
      <c r="FP121" s="29">
        <v>0</v>
      </c>
      <c r="FQ121" s="28">
        <v>52.265027788167174</v>
      </c>
      <c r="FR121" s="29">
        <v>0</v>
      </c>
      <c r="FS121" s="28">
        <v>52.282099044890117</v>
      </c>
      <c r="FT121" s="29">
        <v>0</v>
      </c>
      <c r="FU121" s="28">
        <v>52.299175877574989</v>
      </c>
      <c r="FV121" s="29">
        <v>0</v>
      </c>
      <c r="FW121" s="28">
        <v>52.316258288043088</v>
      </c>
      <c r="FX121" s="29">
        <v>0</v>
      </c>
      <c r="FY121" s="28">
        <v>52.333346278116259</v>
      </c>
      <c r="FZ121" s="29">
        <v>0</v>
      </c>
      <c r="GA121" s="28">
        <v>52.350439849616969</v>
      </c>
      <c r="GB121" s="29">
        <v>0</v>
      </c>
      <c r="GC121" s="28">
        <v>52.367539004368275</v>
      </c>
      <c r="GD121" s="29">
        <v>0</v>
      </c>
      <c r="GE121" s="28">
        <v>52.384643744193816</v>
      </c>
      <c r="GF121" s="29">
        <v>0</v>
      </c>
      <c r="GG121" s="28">
        <v>52.401754070917846</v>
      </c>
      <c r="GH121" s="29">
        <v>0</v>
      </c>
      <c r="GI121" s="28">
        <v>52.418869986365237</v>
      </c>
      <c r="GJ121" s="29">
        <v>0</v>
      </c>
      <c r="GK121" s="28">
        <v>52.43599149236136</v>
      </c>
      <c r="GL121" s="29">
        <v>0</v>
      </c>
      <c r="GM121" s="28">
        <v>52.453118590732288</v>
      </c>
      <c r="GN121" s="29">
        <v>0</v>
      </c>
      <c r="GO121" s="28">
        <v>52.470251283304655</v>
      </c>
      <c r="GP121" s="29">
        <v>0</v>
      </c>
      <c r="GQ121" s="28">
        <v>52.487389571905673</v>
      </c>
      <c r="GR121" s="29">
        <v>0</v>
      </c>
      <c r="GS121" s="28">
        <v>52.50453345836317</v>
      </c>
      <c r="GT121" s="29">
        <v>0</v>
      </c>
    </row>
    <row r="122" spans="17:202" x14ac:dyDescent="0.25">
      <c r="AY122" s="28">
        <v>49.037512235820714</v>
      </c>
      <c r="AZ122" s="29">
        <v>1.2502078636410325E-3</v>
      </c>
      <c r="BA122" s="28">
        <v>49.053529293418485</v>
      </c>
      <c r="BB122" s="29">
        <v>1.250616217377756E-3</v>
      </c>
      <c r="BC122" s="28">
        <v>49.069551582646504</v>
      </c>
      <c r="BD122" s="29">
        <v>1.251024704494519E-3</v>
      </c>
      <c r="BE122" s="28">
        <v>49.085579105213647</v>
      </c>
      <c r="BF122" s="29">
        <v>1.1461538641148548E-3</v>
      </c>
      <c r="BG122" s="28">
        <v>49.10161186282923</v>
      </c>
      <c r="BH122" s="29">
        <v>1.0438652980488551E-3</v>
      </c>
      <c r="BI122" s="28">
        <v>49.117649857203162</v>
      </c>
      <c r="BJ122" s="29">
        <v>9.4192603127876901E-4</v>
      </c>
      <c r="BK122" s="28">
        <v>49.133693090045924</v>
      </c>
      <c r="BL122" s="29">
        <v>8.4714437337555159E-4</v>
      </c>
      <c r="BM122" s="28">
        <v>49.149741563068574</v>
      </c>
      <c r="BN122" s="29">
        <v>7.5933113229089224E-4</v>
      </c>
      <c r="BO122" s="28">
        <v>49.16579527798266</v>
      </c>
      <c r="BP122" s="29">
        <v>6.785362809877E-4</v>
      </c>
      <c r="BQ122" s="28">
        <v>49.181854236500392</v>
      </c>
      <c r="BR122" s="29">
        <v>6.0441221568532943E-4</v>
      </c>
      <c r="BS122" s="28">
        <v>49.197918440334441</v>
      </c>
      <c r="BT122" s="29">
        <v>5.3661391934008618E-4</v>
      </c>
      <c r="BU122" s="28">
        <v>49.21398789119808</v>
      </c>
      <c r="BV122" s="29">
        <v>4.7478242079528911E-4</v>
      </c>
      <c r="BW122" s="28">
        <v>49.230062590805147</v>
      </c>
      <c r="BX122" s="29">
        <v>4.1856487563775812E-4</v>
      </c>
      <c r="BY122" s="28">
        <v>49.246142540870018</v>
      </c>
      <c r="BZ122" s="29">
        <v>3.6761500669378746E-4</v>
      </c>
      <c r="CA122" s="28">
        <v>49.262227743107665</v>
      </c>
      <c r="CB122" s="29">
        <v>3.2159363626287367E-4</v>
      </c>
      <c r="CC122" s="28">
        <v>49.27831819923361</v>
      </c>
      <c r="CD122" s="29">
        <v>2.80170010106294E-4</v>
      </c>
      <c r="CE122" s="28">
        <v>49.29441391096389</v>
      </c>
      <c r="CF122" s="29">
        <v>2.4302242192506226E-4</v>
      </c>
      <c r="CG122" s="28">
        <v>49.310514880015134</v>
      </c>
      <c r="CH122" s="29">
        <v>2.0983882579596146E-4</v>
      </c>
      <c r="CI122" s="28">
        <v>49.326621108104575</v>
      </c>
      <c r="CJ122" s="29">
        <v>1.8031743220455414E-4</v>
      </c>
      <c r="CK122" s="28">
        <v>49.342732596949929</v>
      </c>
      <c r="CL122" s="29">
        <v>1.54167256268699E-4</v>
      </c>
      <c r="CM122" s="28">
        <v>49.358849348269537</v>
      </c>
      <c r="CN122" s="29">
        <v>1.3110863094629031E-4</v>
      </c>
      <c r="CO122" s="28">
        <v>49.374971363782223</v>
      </c>
      <c r="CP122" s="29">
        <v>1.1087367956346471E-4</v>
      </c>
      <c r="CQ122" s="28">
        <v>49.391098645207499</v>
      </c>
      <c r="CR122" s="29">
        <v>9.3206741830668158E-5</v>
      </c>
      <c r="CS122" s="28">
        <v>49.407231194265272</v>
      </c>
      <c r="CT122" s="29">
        <v>7.7864748084053402E-5</v>
      </c>
      <c r="CU122" s="28">
        <v>49.423369012676204</v>
      </c>
      <c r="CV122" s="29">
        <v>6.4617536236811541E-5</v>
      </c>
      <c r="CW122" s="28">
        <v>49.439512102161324</v>
      </c>
      <c r="CX122" s="29">
        <v>5.3248106110487702E-5</v>
      </c>
      <c r="CY122" s="28">
        <v>49.455660464442374</v>
      </c>
      <c r="CZ122" s="29">
        <v>4.3552806118477965E-5</v>
      </c>
      <c r="DA122" s="28">
        <v>49.471814101241577</v>
      </c>
      <c r="DB122" s="29">
        <v>3.53414476930622E-5</v>
      </c>
      <c r="DC122" s="28">
        <v>49.487973014281749</v>
      </c>
      <c r="DD122" s="29">
        <v>2.843734340837659E-5</v>
      </c>
      <c r="DE122" s="28">
        <v>49.50413720528627</v>
      </c>
      <c r="DF122" s="29">
        <v>2.2677265459268394E-5</v>
      </c>
      <c r="DG122" s="28">
        <v>49.520306675979079</v>
      </c>
      <c r="DH122" s="29">
        <v>1.7911322017379845E-5</v>
      </c>
      <c r="DI122" s="28">
        <v>49.536481428084635</v>
      </c>
      <c r="DJ122" s="29">
        <v>1.400275000455384E-5</v>
      </c>
      <c r="DK122" s="28">
        <v>49.552661463328015</v>
      </c>
      <c r="DL122" s="29">
        <v>1.0827623997842812E-5</v>
      </c>
      <c r="DM122" s="28">
        <v>49.568846783434864</v>
      </c>
      <c r="DN122" s="29">
        <v>8.2744823027744622E-6</v>
      </c>
      <c r="DO122" s="28">
        <v>49.585037390131376</v>
      </c>
      <c r="DP122" s="29">
        <v>6.2438726870103823E-6</v>
      </c>
      <c r="DQ122" s="28">
        <v>49.601233285144254</v>
      </c>
      <c r="DR122" s="29">
        <v>4.6478218316967175E-6</v>
      </c>
      <c r="DS122" s="28">
        <v>49.617434470200855</v>
      </c>
      <c r="DT122" s="29">
        <v>3.4092341994672026E-6</v>
      </c>
      <c r="DU122" s="28">
        <v>49.633640947029029</v>
      </c>
      <c r="DV122" s="29">
        <v>2.4612276924077908E-6</v>
      </c>
      <c r="DW122" s="28">
        <v>49.64985271735727</v>
      </c>
      <c r="DX122" s="29">
        <v>1.7464151256405342E-6</v>
      </c>
      <c r="DY122" s="28">
        <v>49.666069782914541</v>
      </c>
      <c r="DZ122" s="29">
        <v>1.2161421069345771E-6</v>
      </c>
      <c r="EA122" s="28">
        <v>49.682292145430452</v>
      </c>
      <c r="EB122" s="29">
        <v>8.2969331474021613E-7</v>
      </c>
      <c r="EC122" s="28">
        <v>49.698519806635105</v>
      </c>
      <c r="ED122" s="29">
        <v>5.5348032357731644E-7</v>
      </c>
      <c r="EE122" s="28">
        <v>49.714752768259245</v>
      </c>
      <c r="EF122" s="29">
        <v>3.6022495030118691E-7</v>
      </c>
      <c r="EG122" s="28">
        <v>49.730991032034062</v>
      </c>
      <c r="EH122" s="29">
        <v>2.2815250213525916E-7</v>
      </c>
      <c r="EI122" s="28">
        <v>49.747234599691474</v>
      </c>
      <c r="EJ122" s="29">
        <v>1.4020922026349822E-7</v>
      </c>
      <c r="EK122" s="28">
        <v>49.763483472963863</v>
      </c>
      <c r="EL122" s="29">
        <v>8.3317570207536473E-8</v>
      </c>
      <c r="EM122" s="28">
        <v>49.779737653584164</v>
      </c>
      <c r="EN122" s="29">
        <v>4.7681796782102681E-8</v>
      </c>
      <c r="EO122" s="28">
        <v>49.795997143285938</v>
      </c>
      <c r="EP122" s="29">
        <v>2.6154337109353792E-8</v>
      </c>
      <c r="EQ122" s="28">
        <v>49.812261943803257</v>
      </c>
      <c r="ER122" s="29">
        <v>1.3671314394211856E-8</v>
      </c>
      <c r="ES122" s="28">
        <v>49.828532056870827</v>
      </c>
      <c r="ET122" s="29">
        <v>6.7625134806530325E-9</v>
      </c>
      <c r="EU122" s="28">
        <v>49.84480748422385</v>
      </c>
      <c r="EV122" s="29">
        <v>3.1381158498630849E-9</v>
      </c>
      <c r="EW122" s="28">
        <v>49.86108822759811</v>
      </c>
      <c r="EX122" s="29">
        <v>1.3512457128455027E-9</v>
      </c>
      <c r="EY122" s="28">
        <v>49.877374288729996</v>
      </c>
      <c r="EZ122" s="29">
        <v>5.3228693123633837E-10</v>
      </c>
      <c r="FA122" s="28">
        <v>49.893665669356444</v>
      </c>
      <c r="FB122" s="29">
        <v>1.8822566784631474E-10</v>
      </c>
      <c r="FC122" s="28">
        <v>49.909962371214938</v>
      </c>
      <c r="FD122" s="29">
        <v>5.8194800415050022E-11</v>
      </c>
      <c r="FE122" s="28">
        <v>49.92626439604355</v>
      </c>
      <c r="FF122" s="29">
        <v>1.513141675287355E-11</v>
      </c>
      <c r="FG122" s="28">
        <v>49.942571745580928</v>
      </c>
      <c r="FH122" s="29">
        <v>3.1085065084841573E-12</v>
      </c>
      <c r="FI122" s="28">
        <v>49.958884421566225</v>
      </c>
      <c r="FJ122" s="29">
        <v>4.4951198237479423E-13</v>
      </c>
      <c r="FK122" s="28">
        <v>49.975202425739262</v>
      </c>
      <c r="FL122" s="29">
        <v>3.4402513969893949E-14</v>
      </c>
      <c r="FM122" s="28">
        <v>49.991525759840407</v>
      </c>
      <c r="FN122" s="29">
        <v>0</v>
      </c>
      <c r="FO122" s="28">
        <v>50.007854425610482</v>
      </c>
      <c r="FP122" s="29">
        <v>0</v>
      </c>
      <c r="FQ122" s="28">
        <v>50.024188424791014</v>
      </c>
      <c r="FR122" s="29">
        <v>0</v>
      </c>
      <c r="FS122" s="28">
        <v>50.040527759124053</v>
      </c>
      <c r="FT122" s="29">
        <v>0</v>
      </c>
      <c r="FU122" s="28">
        <v>50.056872430352186</v>
      </c>
      <c r="FV122" s="29">
        <v>0</v>
      </c>
      <c r="FW122" s="28">
        <v>50.073222440218615</v>
      </c>
      <c r="FX122" s="29">
        <v>0</v>
      </c>
      <c r="FY122" s="28">
        <v>50.089577790467082</v>
      </c>
      <c r="FZ122" s="29">
        <v>0</v>
      </c>
      <c r="GA122" s="28">
        <v>50.105938482841914</v>
      </c>
      <c r="GB122" s="29">
        <v>0</v>
      </c>
      <c r="GC122" s="28">
        <v>50.122304519087997</v>
      </c>
      <c r="GD122" s="29">
        <v>0</v>
      </c>
      <c r="GE122" s="28">
        <v>50.138675900950801</v>
      </c>
      <c r="GF122" s="29">
        <v>0</v>
      </c>
      <c r="GG122" s="28">
        <v>50.15505263017635</v>
      </c>
      <c r="GH122" s="29">
        <v>0</v>
      </c>
      <c r="GI122" s="28">
        <v>50.171434708511278</v>
      </c>
      <c r="GJ122" s="29">
        <v>0</v>
      </c>
      <c r="GK122" s="28">
        <v>50.187822137702703</v>
      </c>
      <c r="GL122" s="29">
        <v>0</v>
      </c>
      <c r="GM122" s="28">
        <v>50.204214919498391</v>
      </c>
      <c r="GN122" s="29">
        <v>0</v>
      </c>
      <c r="GO122" s="28">
        <v>50.220613055646673</v>
      </c>
      <c r="GP122" s="29">
        <v>0</v>
      </c>
      <c r="GQ122" s="28">
        <v>50.237016547896417</v>
      </c>
      <c r="GR122" s="29">
        <v>0</v>
      </c>
      <c r="GS122" s="28">
        <v>50.253425397997077</v>
      </c>
      <c r="GT122" s="29">
        <v>0</v>
      </c>
    </row>
    <row r="123" spans="17:202" x14ac:dyDescent="0.25">
      <c r="BE123" s="28">
        <v>46.981057162187348</v>
      </c>
      <c r="BF123" s="29">
        <v>3.8947433083648283E-4</v>
      </c>
      <c r="BG123" s="28">
        <v>46.996402522591282</v>
      </c>
      <c r="BH123" s="29">
        <v>3.8960154432072039E-4</v>
      </c>
      <c r="BI123" s="28">
        <v>47.011752895229925</v>
      </c>
      <c r="BJ123" s="29">
        <v>3.8972879935652958E-4</v>
      </c>
      <c r="BK123" s="28">
        <v>47.027108281740418</v>
      </c>
      <c r="BL123" s="29">
        <v>3.5053748720936443E-4</v>
      </c>
      <c r="BM123" s="28">
        <v>47.042468683760468</v>
      </c>
      <c r="BN123" s="29">
        <v>3.1319529717683544E-4</v>
      </c>
      <c r="BO123" s="28">
        <v>47.057834102928233</v>
      </c>
      <c r="BP123" s="29">
        <v>2.7691134373969656E-4</v>
      </c>
      <c r="BQ123" s="28">
        <v>47.073204540882514</v>
      </c>
      <c r="BR123" s="29">
        <v>2.4385860847838853E-4</v>
      </c>
      <c r="BS123" s="28">
        <v>47.088579999262556</v>
      </c>
      <c r="BT123" s="29">
        <v>2.1386860038312064E-4</v>
      </c>
      <c r="BU123" s="28">
        <v>47.103960479708178</v>
      </c>
      <c r="BV123" s="29">
        <v>1.8684188737335761E-4</v>
      </c>
      <c r="BW123" s="28">
        <v>47.119345983859731</v>
      </c>
      <c r="BX123" s="29">
        <v>1.6257141128209955E-4</v>
      </c>
      <c r="BY123" s="28">
        <v>47.134736513358085</v>
      </c>
      <c r="BZ123" s="29">
        <v>1.4085763274279255E-4</v>
      </c>
      <c r="CA123" s="28">
        <v>47.150132069844695</v>
      </c>
      <c r="CB123" s="29">
        <v>1.2150789440149349E-4</v>
      </c>
      <c r="CC123" s="28">
        <v>47.165532654961524</v>
      </c>
      <c r="CD123" s="29">
        <v>1.0433330840852793E-4</v>
      </c>
      <c r="CE123" s="28">
        <v>47.180938270351035</v>
      </c>
      <c r="CF123" s="29">
        <v>8.9153007117479286E-5</v>
      </c>
      <c r="CG123" s="28">
        <v>47.196348917656259</v>
      </c>
      <c r="CH123" s="29">
        <v>7.5794315801537549E-5</v>
      </c>
      <c r="CI123" s="28">
        <v>47.211764598520801</v>
      </c>
      <c r="CJ123" s="29">
        <v>6.4092909493725878E-5</v>
      </c>
      <c r="CK123" s="28">
        <v>47.227185314588738</v>
      </c>
      <c r="CL123" s="29">
        <v>5.3893054705627873E-5</v>
      </c>
      <c r="CM123" s="28">
        <v>47.242611067504725</v>
      </c>
      <c r="CN123" s="29">
        <v>4.5047708717242666E-5</v>
      </c>
      <c r="CO123" s="28">
        <v>47.258041858913899</v>
      </c>
      <c r="CP123" s="29">
        <v>3.7418581654333876E-5</v>
      </c>
      <c r="CQ123" s="28">
        <v>47.273477690462052</v>
      </c>
      <c r="CR123" s="29">
        <v>3.0876159553301242E-5</v>
      </c>
      <c r="CS123" s="28">
        <v>47.288918563795349</v>
      </c>
      <c r="CT123" s="29">
        <v>2.529968417536259E-5</v>
      </c>
      <c r="CU123" s="28">
        <v>47.304364480560672</v>
      </c>
      <c r="CV123" s="29">
        <v>2.0577090377597858E-5</v>
      </c>
      <c r="CW123" s="28">
        <v>47.319815442405272</v>
      </c>
      <c r="CX123" s="29">
        <v>1.6604900268436265E-5</v>
      </c>
      <c r="CY123" s="28">
        <v>47.335271450977068</v>
      </c>
      <c r="CZ123" s="29">
        <v>1.3288073840232508E-5</v>
      </c>
      <c r="DA123" s="28">
        <v>47.350732507924441</v>
      </c>
      <c r="DB123" s="29">
        <v>1.0539816335100985E-5</v>
      </c>
      <c r="DC123" s="28">
        <v>47.366198614896348</v>
      </c>
      <c r="DD123" s="29">
        <v>8.281343154431539E-6</v>
      </c>
      <c r="DE123" s="28">
        <v>47.381669773542278</v>
      </c>
      <c r="DF123" s="29">
        <v>6.4416037455368154E-6</v>
      </c>
      <c r="DG123" s="28">
        <v>47.397145985512246</v>
      </c>
      <c r="DH123" s="29">
        <v>4.9569665580289111E-6</v>
      </c>
      <c r="DI123" s="28">
        <v>47.412627252456794</v>
      </c>
      <c r="DJ123" s="29">
        <v>3.7708678453398659E-6</v>
      </c>
      <c r="DK123" s="28">
        <v>47.428113576027023</v>
      </c>
      <c r="DL123" s="29">
        <v>2.8334277784515067E-6</v>
      </c>
      <c r="DM123" s="28">
        <v>47.443604957874598</v>
      </c>
      <c r="DN123" s="29">
        <v>2.1010380207370937E-6</v>
      </c>
      <c r="DO123" s="28">
        <v>47.459101399651701</v>
      </c>
      <c r="DP123" s="29">
        <v>1.5359255631110433E-6</v>
      </c>
      <c r="DQ123" s="28">
        <v>47.474602903011004</v>
      </c>
      <c r="DR123" s="29">
        <v>1.105698212988646E-6</v>
      </c>
      <c r="DS123" s="28">
        <v>47.490109469605805</v>
      </c>
      <c r="DT123" s="29">
        <v>7.8287764194246322E-7</v>
      </c>
      <c r="DU123" s="28">
        <v>47.505621101089872</v>
      </c>
      <c r="DV123" s="29">
        <v>5.4442629718328176E-7</v>
      </c>
      <c r="DW123" s="28">
        <v>47.521137799117589</v>
      </c>
      <c r="DX123" s="29">
        <v>3.7127474256465446E-7</v>
      </c>
      <c r="DY123" s="28">
        <v>47.536659565343797</v>
      </c>
      <c r="DZ123" s="29">
        <v>2.4785608863193851E-7</v>
      </c>
      <c r="EA123" s="28">
        <v>47.552186401423945</v>
      </c>
      <c r="EB123" s="29">
        <v>1.6165407456168968E-7</v>
      </c>
      <c r="EC123" s="28">
        <v>47.567718309013955</v>
      </c>
      <c r="ED123" s="29">
        <v>1.0277105962151362E-7</v>
      </c>
      <c r="EE123" s="28">
        <v>47.583255289770371</v>
      </c>
      <c r="EF123" s="29">
        <v>6.3521658150390218E-8</v>
      </c>
      <c r="EG123" s="28">
        <v>47.598797345350164</v>
      </c>
      <c r="EH123" s="29">
        <v>3.8057010905248626E-8</v>
      </c>
      <c r="EI123" s="28">
        <v>47.614344477410981</v>
      </c>
      <c r="EJ123" s="29">
        <v>2.2023740949455039E-8</v>
      </c>
      <c r="EK123" s="28">
        <v>47.629896687610945</v>
      </c>
      <c r="EL123" s="29">
        <v>1.2260522980166164E-8</v>
      </c>
      <c r="EM123" s="28">
        <v>47.645453977608689</v>
      </c>
      <c r="EN123" s="29">
        <v>6.5339457838542162E-9</v>
      </c>
      <c r="EO123" s="28">
        <v>47.661016349063445</v>
      </c>
      <c r="EP123" s="29">
        <v>3.314028248213992E-9</v>
      </c>
      <c r="EQ123" s="28">
        <v>47.676583803634934</v>
      </c>
      <c r="ER123" s="29">
        <v>1.5884327536587854E-9</v>
      </c>
      <c r="ES123" s="28">
        <v>47.692156342983495</v>
      </c>
      <c r="ET123" s="29">
        <v>7.1318685093102034E-10</v>
      </c>
      <c r="EU123" s="28">
        <v>47.707733968769929</v>
      </c>
      <c r="EV123" s="29">
        <v>2.9665755344970782E-10</v>
      </c>
      <c r="EW123" s="28">
        <v>47.7233166826556</v>
      </c>
      <c r="EX123" s="29">
        <v>1.1269797802553755E-10</v>
      </c>
      <c r="EY123" s="28">
        <v>47.738904486302445</v>
      </c>
      <c r="EZ123" s="29">
        <v>3.8362331923496417E-11</v>
      </c>
      <c r="FA123" s="28">
        <v>47.754497381372943</v>
      </c>
      <c r="FB123" s="29">
        <v>1.139490398750731E-11</v>
      </c>
      <c r="FC123" s="28">
        <v>47.770095369530075</v>
      </c>
      <c r="FD123" s="29">
        <v>2.8404144585868805E-12</v>
      </c>
      <c r="FE123" s="28">
        <v>47.785698452437394</v>
      </c>
      <c r="FF123" s="29">
        <v>5.5811973919209306E-13</v>
      </c>
      <c r="FG123" s="28">
        <v>47.801306631759005</v>
      </c>
      <c r="FH123" s="29">
        <v>7.700184628292376E-14</v>
      </c>
      <c r="FI123" s="28">
        <v>47.816919909159495</v>
      </c>
      <c r="FJ123" s="29">
        <v>5.60720973675608E-15</v>
      </c>
      <c r="FK123" s="28">
        <v>47.832538286304093</v>
      </c>
      <c r="FL123" s="29">
        <v>0</v>
      </c>
      <c r="FM123" s="28">
        <v>47.848161764858553</v>
      </c>
      <c r="FN123" s="29">
        <v>0</v>
      </c>
      <c r="FO123" s="28">
        <v>47.863790346489054</v>
      </c>
      <c r="FP123" s="29">
        <v>0</v>
      </c>
      <c r="FQ123" s="28">
        <v>47.879424032862453</v>
      </c>
      <c r="FR123" s="29">
        <v>0</v>
      </c>
      <c r="FS123" s="28">
        <v>47.895062825646114</v>
      </c>
      <c r="FT123" s="29">
        <v>0</v>
      </c>
      <c r="FU123" s="28">
        <v>47.910706726507918</v>
      </c>
      <c r="FV123" s="29">
        <v>0</v>
      </c>
      <c r="FW123" s="28">
        <v>47.926355737116317</v>
      </c>
      <c r="FX123" s="29">
        <v>0</v>
      </c>
      <c r="FY123" s="28">
        <v>47.942009859140299</v>
      </c>
      <c r="FZ123" s="29">
        <v>0</v>
      </c>
      <c r="GA123" s="28">
        <v>47.957669094249404</v>
      </c>
      <c r="GB123" s="29">
        <v>0</v>
      </c>
      <c r="GC123" s="28">
        <v>47.973333444113699</v>
      </c>
      <c r="GD123" s="29">
        <v>0</v>
      </c>
      <c r="GE123" s="28">
        <v>47.989002910403826</v>
      </c>
      <c r="GF123" s="29">
        <v>0</v>
      </c>
      <c r="GG123" s="28">
        <v>48.00467749479094</v>
      </c>
      <c r="GH123" s="29">
        <v>0</v>
      </c>
      <c r="GI123" s="28">
        <v>48.020357198946797</v>
      </c>
      <c r="GJ123" s="29">
        <v>0</v>
      </c>
      <c r="GK123" s="28">
        <v>48.036042024543605</v>
      </c>
      <c r="GL123" s="29">
        <v>0</v>
      </c>
      <c r="GM123" s="28">
        <v>48.051731973254199</v>
      </c>
      <c r="GN123" s="29">
        <v>0</v>
      </c>
      <c r="GO123" s="28">
        <v>48.067427046751945</v>
      </c>
      <c r="GP123" s="29">
        <v>0</v>
      </c>
      <c r="GQ123" s="28">
        <v>48.083127246710731</v>
      </c>
      <c r="GR123" s="29">
        <v>0</v>
      </c>
      <c r="GS123" s="28">
        <v>48.098832574805009</v>
      </c>
      <c r="GT123" s="29">
        <v>0</v>
      </c>
    </row>
    <row r="124" spans="17:202" x14ac:dyDescent="0.25">
      <c r="BK124" s="28">
        <v>45.010842341720483</v>
      </c>
      <c r="BL124" s="29">
        <v>1.0603980266995817E-4</v>
      </c>
      <c r="BM124" s="28">
        <v>45.025544173470117</v>
      </c>
      <c r="BN124" s="29">
        <v>1.0607443831009532E-4</v>
      </c>
      <c r="BO124" s="28">
        <v>45.040250807259532</v>
      </c>
      <c r="BP124" s="29">
        <v>1.0610908526322566E-4</v>
      </c>
      <c r="BQ124" s="28">
        <v>45.054962244657268</v>
      </c>
      <c r="BR124" s="29">
        <v>9.3328530623127412E-5</v>
      </c>
      <c r="BS124" s="28">
        <v>45.069678487232288</v>
      </c>
      <c r="BT124" s="29">
        <v>8.1482874323272422E-5</v>
      </c>
      <c r="BU124" s="28">
        <v>45.084399536554102</v>
      </c>
      <c r="BV124" s="29">
        <v>7.0315366588010876E-5</v>
      </c>
      <c r="BW124" s="28">
        <v>45.099125394192733</v>
      </c>
      <c r="BX124" s="29">
        <v>6.0390106456443754E-5</v>
      </c>
      <c r="BY124" s="28">
        <v>45.1138560617187</v>
      </c>
      <c r="BZ124" s="29">
        <v>5.1603465385301484E-5</v>
      </c>
      <c r="CA124" s="28">
        <v>45.128591540703084</v>
      </c>
      <c r="CB124" s="29">
        <v>4.3862241346606994E-5</v>
      </c>
      <c r="CC124" s="28">
        <v>45.143331832717443</v>
      </c>
      <c r="CD124" s="29">
        <v>3.7090832374761774E-5</v>
      </c>
      <c r="CE124" s="28">
        <v>45.158076939333824</v>
      </c>
      <c r="CF124" s="29">
        <v>3.1195726802860987E-5</v>
      </c>
      <c r="CG124" s="28">
        <v>45.172826862124815</v>
      </c>
      <c r="CH124" s="29">
        <v>2.6089202801883933E-5</v>
      </c>
      <c r="CI124" s="28">
        <v>45.187581602663556</v>
      </c>
      <c r="CJ124" s="29">
        <v>2.1689158389383937E-5</v>
      </c>
      <c r="CK124" s="28">
        <v>45.202341162523624</v>
      </c>
      <c r="CL124" s="29">
        <v>1.7918561811461048E-5</v>
      </c>
      <c r="CM124" s="28">
        <v>45.217105543279168</v>
      </c>
      <c r="CN124" s="29">
        <v>1.4705991244424662E-5</v>
      </c>
      <c r="CO124" s="28">
        <v>45.231874746504793</v>
      </c>
      <c r="CP124" s="29">
        <v>1.1985522663266219E-5</v>
      </c>
      <c r="CQ124" s="28">
        <v>45.246648773775718</v>
      </c>
      <c r="CR124" s="29">
        <v>9.6965963709916797E-6</v>
      </c>
      <c r="CS124" s="28">
        <v>45.26142762666754</v>
      </c>
      <c r="CT124" s="29">
        <v>7.7838732411243164E-6</v>
      </c>
      <c r="CU124" s="28">
        <v>45.276211306756522</v>
      </c>
      <c r="CV124" s="29">
        <v>6.1970579038833408E-6</v>
      </c>
      <c r="CW124" s="28">
        <v>45.290999815619294</v>
      </c>
      <c r="CX124" s="29">
        <v>4.8907017422761372E-6</v>
      </c>
      <c r="CY124" s="28">
        <v>45.305793154833133</v>
      </c>
      <c r="CZ124" s="29">
        <v>3.8239871773700472E-6</v>
      </c>
      <c r="DA124" s="28">
        <v>45.320591325975727</v>
      </c>
      <c r="DB124" s="29">
        <v>2.9604948462858923E-6</v>
      </c>
      <c r="DC124" s="28">
        <v>45.335394330625341</v>
      </c>
      <c r="DD124" s="29">
        <v>2.2679558799190484E-6</v>
      </c>
      <c r="DE124" s="28">
        <v>45.350202170360753</v>
      </c>
      <c r="DF124" s="29">
        <v>1.7179916268121549E-6</v>
      </c>
      <c r="DG124" s="28">
        <v>45.36501484676122</v>
      </c>
      <c r="DH124" s="29">
        <v>1.2858434242506637E-6</v>
      </c>
      <c r="DI124" s="28">
        <v>45.379832361406528</v>
      </c>
      <c r="DJ124" s="29">
        <v>9.5009524134478276E-7</v>
      </c>
      <c r="DK124" s="28">
        <v>45.394654715876982</v>
      </c>
      <c r="DL124" s="29">
        <v>6.9239219804855087E-7</v>
      </c>
      <c r="DM124" s="28">
        <v>45.409481911753439</v>
      </c>
      <c r="DN124" s="29">
        <v>4.9715809187107132E-7</v>
      </c>
      <c r="DO124" s="28">
        <v>45.424313950617233</v>
      </c>
      <c r="DP124" s="29">
        <v>3.5131512994581087E-7</v>
      </c>
      <c r="DQ124" s="28">
        <v>45.439150834050196</v>
      </c>
      <c r="DR124" s="29">
        <v>2.4400905935894053E-7</v>
      </c>
      <c r="DS124" s="28">
        <v>45.453992563634721</v>
      </c>
      <c r="DT124" s="29">
        <v>1.6634280594459098E-7</v>
      </c>
      <c r="DU124" s="28">
        <v>45.468839140953691</v>
      </c>
      <c r="DV124" s="29">
        <v>1.111215660482337E-7</v>
      </c>
      <c r="DW124" s="28">
        <v>45.483690567590543</v>
      </c>
      <c r="DX124" s="29">
        <v>7.2612044876532487E-8</v>
      </c>
      <c r="DY124" s="28">
        <v>45.498546845129177</v>
      </c>
      <c r="DZ124" s="29">
        <v>4.6318200434953883E-8</v>
      </c>
      <c r="EA124" s="28">
        <v>45.51340797515406</v>
      </c>
      <c r="EB124" s="29">
        <v>2.8775439415500573E-8</v>
      </c>
      <c r="EC124" s="28">
        <v>45.528273959250122</v>
      </c>
      <c r="ED124" s="29">
        <v>1.7364731165892429E-8</v>
      </c>
      <c r="EE124" s="28">
        <v>45.543144799002881</v>
      </c>
      <c r="EF124" s="29">
        <v>1.0147573423185436E-8</v>
      </c>
      <c r="EG124" s="28">
        <v>45.558020495998264</v>
      </c>
      <c r="EH124" s="29">
        <v>5.7221790057167096E-9</v>
      </c>
      <c r="EI124" s="28">
        <v>45.572901051822853</v>
      </c>
      <c r="EJ124" s="29">
        <v>3.1006805078067373E-9</v>
      </c>
      <c r="EK124" s="28">
        <v>45.587786468063676</v>
      </c>
      <c r="EL124" s="29">
        <v>1.6065976905508265E-9</v>
      </c>
      <c r="EM124" s="28">
        <v>45.602676746308248</v>
      </c>
      <c r="EN124" s="29">
        <v>7.9130856068525299E-10</v>
      </c>
      <c r="EO124" s="28">
        <v>45.617571888144667</v>
      </c>
      <c r="EP124" s="29">
        <v>3.6783810747575434E-10</v>
      </c>
      <c r="EQ124" s="28">
        <v>45.632471895161501</v>
      </c>
      <c r="ER124" s="29">
        <v>1.5995292107735018E-10</v>
      </c>
      <c r="ES124" s="28">
        <v>45.647376768947893</v>
      </c>
      <c r="ET124" s="29">
        <v>6.4343833638357254E-11</v>
      </c>
      <c r="EU124" s="28">
        <v>45.662286511093441</v>
      </c>
      <c r="EV124" s="29">
        <v>2.3601899467305847E-11</v>
      </c>
      <c r="EW124" s="28">
        <v>45.677201123188276</v>
      </c>
      <c r="EX124" s="29">
        <v>7.7442985951770382E-12</v>
      </c>
      <c r="EY124" s="28">
        <v>45.692120606823089</v>
      </c>
      <c r="EZ124" s="29">
        <v>2.2133291923701686E-12</v>
      </c>
      <c r="FA124" s="28">
        <v>45.70704496358907</v>
      </c>
      <c r="FB124" s="29">
        <v>5.2981749107823038E-13</v>
      </c>
      <c r="FC124" s="28">
        <v>45.721974195077905</v>
      </c>
      <c r="FD124" s="29">
        <v>9.9761781016651892E-14</v>
      </c>
      <c r="FE124" s="28">
        <v>45.73690830288183</v>
      </c>
      <c r="FF124" s="29">
        <v>1.3159431188741654E-14</v>
      </c>
      <c r="FG124" s="28">
        <v>45.751847288593588</v>
      </c>
      <c r="FH124" s="29">
        <v>9.1390998516779929E-16</v>
      </c>
      <c r="FI124" s="28">
        <v>45.766791153806409</v>
      </c>
      <c r="FJ124" s="29">
        <v>0</v>
      </c>
      <c r="FK124" s="28">
        <v>45.781739900114118</v>
      </c>
      <c r="FL124" s="29">
        <v>0</v>
      </c>
      <c r="FM124" s="28">
        <v>45.79669352911106</v>
      </c>
      <c r="FN124" s="29">
        <v>0</v>
      </c>
      <c r="FO124" s="28">
        <v>45.81165204239197</v>
      </c>
      <c r="FP124" s="29">
        <v>0</v>
      </c>
      <c r="FQ124" s="28">
        <v>45.826615441552235</v>
      </c>
      <c r="FR124" s="29">
        <v>0</v>
      </c>
      <c r="FS124" s="28">
        <v>45.84158372818775</v>
      </c>
      <c r="FT124" s="29">
        <v>0</v>
      </c>
      <c r="FU124" s="28">
        <v>45.856556903894862</v>
      </c>
      <c r="FV124" s="29">
        <v>0</v>
      </c>
      <c r="FW124" s="28">
        <v>45.87153497027051</v>
      </c>
      <c r="FX124" s="29">
        <v>0</v>
      </c>
      <c r="FY124" s="28">
        <v>45.886517928912113</v>
      </c>
      <c r="FZ124" s="29">
        <v>0</v>
      </c>
      <c r="GA124" s="28">
        <v>45.901505781417633</v>
      </c>
      <c r="GB124" s="29">
        <v>0</v>
      </c>
      <c r="GC124" s="28">
        <v>45.916498529385535</v>
      </c>
      <c r="GD124" s="29">
        <v>0</v>
      </c>
      <c r="GE124" s="28">
        <v>45.931496174414832</v>
      </c>
      <c r="GF124" s="29">
        <v>0</v>
      </c>
      <c r="GG124" s="28">
        <v>45.946498718105026</v>
      </c>
      <c r="GH124" s="29">
        <v>0</v>
      </c>
      <c r="GI124" s="28">
        <v>45.961506162056203</v>
      </c>
      <c r="GJ124" s="29">
        <v>0</v>
      </c>
      <c r="GK124" s="28">
        <v>45.976518507868875</v>
      </c>
      <c r="GL124" s="29">
        <v>0</v>
      </c>
      <c r="GM124" s="28">
        <v>45.991535757144149</v>
      </c>
      <c r="GN124" s="29">
        <v>0</v>
      </c>
      <c r="GO124" s="28">
        <v>46.006557911483647</v>
      </c>
      <c r="GP124" s="29">
        <v>0</v>
      </c>
      <c r="GQ124" s="28">
        <v>46.021584972489499</v>
      </c>
      <c r="GR124" s="29">
        <v>0</v>
      </c>
      <c r="GS124" s="28">
        <v>46.036616941764358</v>
      </c>
      <c r="GT124" s="29">
        <v>0</v>
      </c>
    </row>
    <row r="125" spans="17:202" x14ac:dyDescent="0.25">
      <c r="BQ125" s="28">
        <v>43.123251171576918</v>
      </c>
      <c r="BR125" s="29">
        <v>2.4483258689862255E-5</v>
      </c>
      <c r="BS125" s="28">
        <v>43.137336461925592</v>
      </c>
      <c r="BT125" s="29">
        <v>2.4491255624183286E-5</v>
      </c>
      <c r="BU125" s="28">
        <v>43.151426352933967</v>
      </c>
      <c r="BV125" s="29">
        <v>2.4499255170532369E-5</v>
      </c>
      <c r="BW125" s="28">
        <v>43.165520846104755</v>
      </c>
      <c r="BX125" s="29">
        <v>2.0990217187091022E-5</v>
      </c>
      <c r="BY125" s="28">
        <v>43.179619942941144</v>
      </c>
      <c r="BZ125" s="29">
        <v>1.787324600711574E-5</v>
      </c>
      <c r="CA125" s="28">
        <v>43.193723644946857</v>
      </c>
      <c r="CB125" s="29">
        <v>1.5088923924971E-5</v>
      </c>
      <c r="CC125" s="28">
        <v>43.207831953626062</v>
      </c>
      <c r="CD125" s="29">
        <v>1.2566579014312495E-5</v>
      </c>
      <c r="CE125" s="28">
        <v>43.221944870483412</v>
      </c>
      <c r="CF125" s="29">
        <v>1.040130304572853E-5</v>
      </c>
      <c r="CG125" s="28">
        <v>43.236062397024071</v>
      </c>
      <c r="CH125" s="29">
        <v>8.5525165895016059E-6</v>
      </c>
      <c r="CI125" s="28">
        <v>43.250184534753728</v>
      </c>
      <c r="CJ125" s="29">
        <v>6.9836562181192419E-6</v>
      </c>
      <c r="CK125" s="28">
        <v>43.264311285178493</v>
      </c>
      <c r="CL125" s="29">
        <v>5.6630957282407613E-6</v>
      </c>
      <c r="CM125" s="28">
        <v>43.278442649805029</v>
      </c>
      <c r="CN125" s="29">
        <v>4.5587115354865231E-6</v>
      </c>
      <c r="CO125" s="28">
        <v>43.292578630140433</v>
      </c>
      <c r="CP125" s="29">
        <v>3.6414313835645716E-6</v>
      </c>
      <c r="CQ125" s="28">
        <v>43.306719227692376</v>
      </c>
      <c r="CR125" s="29">
        <v>2.8850761045459998E-6</v>
      </c>
      <c r="CS125" s="28">
        <v>43.320864443968915</v>
      </c>
      <c r="CT125" s="29">
        <v>2.2661577199726764E-6</v>
      </c>
      <c r="CU125" s="28">
        <v>43.335014280478724</v>
      </c>
      <c r="CV125" s="29">
        <v>1.7637871172540018E-6</v>
      </c>
      <c r="CW125" s="28">
        <v>43.349168738730832</v>
      </c>
      <c r="CX125" s="29">
        <v>1.3595079803389966E-6</v>
      </c>
      <c r="CY125" s="28">
        <v>43.3633278202349</v>
      </c>
      <c r="CZ125" s="29">
        <v>1.0371270352691061E-6</v>
      </c>
      <c r="DA125" s="28">
        <v>43.377491526500961</v>
      </c>
      <c r="DB125" s="29">
        <v>7.825427769217046E-7</v>
      </c>
      <c r="DC125" s="28">
        <v>43.391659859039628</v>
      </c>
      <c r="DD125" s="29">
        <v>5.8357268119483676E-7</v>
      </c>
      <c r="DE125" s="28">
        <v>43.405832819361983</v>
      </c>
      <c r="DF125" s="29">
        <v>4.2978130868442179E-7</v>
      </c>
      <c r="DG125" s="28">
        <v>43.420010408979572</v>
      </c>
      <c r="DH125" s="29">
        <v>3.123108971640347E-7</v>
      </c>
      <c r="DI125" s="28">
        <v>43.434192629404443</v>
      </c>
      <c r="DJ125" s="29">
        <v>2.2371600670039427E-7</v>
      </c>
      <c r="DK125" s="28">
        <v>43.448379482149157</v>
      </c>
      <c r="DL125" s="29">
        <v>1.5780373162161898E-7</v>
      </c>
      <c r="DM125" s="28">
        <v>43.462570968726787</v>
      </c>
      <c r="DN125" s="29">
        <v>1.0948089301978698E-7</v>
      </c>
      <c r="DO125" s="28">
        <v>43.476767090650867</v>
      </c>
      <c r="DP125" s="29">
        <v>7.4609495686574135E-8</v>
      </c>
      <c r="DQ125" s="28">
        <v>43.490967849435407</v>
      </c>
      <c r="DR125" s="29">
        <v>4.9871570228479554E-8</v>
      </c>
      <c r="DS125" s="28">
        <v>43.505173246594964</v>
      </c>
      <c r="DT125" s="29">
        <v>3.2644327282456562E-8</v>
      </c>
      <c r="DU125" s="28">
        <v>43.519383283644544</v>
      </c>
      <c r="DV125" s="29">
        <v>2.0886330517619781E-8</v>
      </c>
      <c r="DW125" s="28">
        <v>43.533597962099705</v>
      </c>
      <c r="DX125" s="29">
        <v>1.3035154422894364E-8</v>
      </c>
      <c r="DY125" s="28">
        <v>43.547817283476434</v>
      </c>
      <c r="DZ125" s="29">
        <v>7.9167392510602349E-9</v>
      </c>
      <c r="EA125" s="28">
        <v>43.562041249291269</v>
      </c>
      <c r="EB125" s="29">
        <v>4.666397823362802E-9</v>
      </c>
      <c r="EC125" s="28">
        <v>43.576269861061178</v>
      </c>
      <c r="ED125" s="29">
        <v>2.661177159741008E-9</v>
      </c>
      <c r="EE125" s="28">
        <v>43.590503120303708</v>
      </c>
      <c r="EF125" s="29">
        <v>1.4630426271098635E-9</v>
      </c>
      <c r="EG125" s="28">
        <v>43.604741028536779</v>
      </c>
      <c r="EH125" s="29">
        <v>7.7214397138315257E-10</v>
      </c>
      <c r="EI125" s="28">
        <v>43.618983587278969</v>
      </c>
      <c r="EJ125" s="29">
        <v>3.8925088858816674E-10</v>
      </c>
      <c r="EK125" s="28">
        <v>43.63323079804924</v>
      </c>
      <c r="EL125" s="29">
        <v>1.8631873525662194E-10</v>
      </c>
      <c r="EM125" s="28">
        <v>43.647482662367061</v>
      </c>
      <c r="EN125" s="29">
        <v>8.4068167027817511E-11</v>
      </c>
      <c r="EO125" s="28">
        <v>43.661739181752431</v>
      </c>
      <c r="EP125" s="29">
        <v>3.5438350024772134E-11</v>
      </c>
      <c r="EQ125" s="28">
        <v>43.676000357725819</v>
      </c>
      <c r="ER125" s="29">
        <v>1.3800668250613605E-11</v>
      </c>
      <c r="ES125" s="28">
        <v>43.69026619180822</v>
      </c>
      <c r="ET125" s="29">
        <v>4.8934712538847407E-12</v>
      </c>
      <c r="EU125" s="28">
        <v>43.704536685521091</v>
      </c>
      <c r="EV125" s="29">
        <v>1.5497075920738303E-12</v>
      </c>
      <c r="EW125" s="28">
        <v>43.71881184038638</v>
      </c>
      <c r="EX125" s="29">
        <v>4.2675937315106956E-13</v>
      </c>
      <c r="EY125" s="28">
        <v>43.733091657926579</v>
      </c>
      <c r="EZ125" s="29">
        <v>9.825405221978797E-14</v>
      </c>
      <c r="FA125" s="28">
        <v>43.747376139664652</v>
      </c>
      <c r="FB125" s="29">
        <v>1.7759601964304004E-14</v>
      </c>
      <c r="FC125" s="28">
        <v>43.761665287124053</v>
      </c>
      <c r="FD125" s="29">
        <v>2.2440983602703148E-15</v>
      </c>
      <c r="FE125" s="28">
        <v>43.775959101828747</v>
      </c>
      <c r="FF125" s="29">
        <v>1.4895670042705415E-16</v>
      </c>
      <c r="FG125" s="28">
        <v>43.790257585303188</v>
      </c>
      <c r="FH125" s="29">
        <v>0</v>
      </c>
      <c r="FI125" s="28">
        <v>43.804560739072294</v>
      </c>
      <c r="FJ125" s="29">
        <v>0</v>
      </c>
      <c r="FK125" s="28">
        <v>43.818868564661564</v>
      </c>
      <c r="FL125" s="29">
        <v>0</v>
      </c>
      <c r="FM125" s="28">
        <v>43.833181063596975</v>
      </c>
      <c r="FN125" s="29">
        <v>0</v>
      </c>
      <c r="FO125" s="28">
        <v>43.847498237404892</v>
      </c>
      <c r="FP125" s="29">
        <v>0</v>
      </c>
      <c r="FQ125" s="28">
        <v>43.861820087612308</v>
      </c>
      <c r="FR125" s="29">
        <v>0</v>
      </c>
      <c r="FS125" s="28">
        <v>43.876146615746691</v>
      </c>
      <c r="FT125" s="29">
        <v>0</v>
      </c>
      <c r="FU125" s="28">
        <v>43.890477823335935</v>
      </c>
      <c r="FV125" s="29">
        <v>0</v>
      </c>
      <c r="FW125" s="28">
        <v>43.904813711908524</v>
      </c>
      <c r="FX125" s="29">
        <v>0</v>
      </c>
      <c r="FY125" s="28">
        <v>43.919154282993389</v>
      </c>
      <c r="FZ125" s="29">
        <v>0</v>
      </c>
      <c r="GA125" s="28">
        <v>43.933499538119968</v>
      </c>
      <c r="GB125" s="29">
        <v>0</v>
      </c>
      <c r="GC125" s="28">
        <v>43.947849478818199</v>
      </c>
      <c r="GD125" s="29">
        <v>0</v>
      </c>
      <c r="GE125" s="28">
        <v>43.962204106618543</v>
      </c>
      <c r="GF125" s="29">
        <v>0</v>
      </c>
      <c r="GG125" s="28">
        <v>43.976563423051921</v>
      </c>
      <c r="GH125" s="29">
        <v>0</v>
      </c>
      <c r="GI125" s="28">
        <v>43.990927429649808</v>
      </c>
      <c r="GJ125" s="29">
        <v>0</v>
      </c>
      <c r="GK125" s="28">
        <v>44.005296127944106</v>
      </c>
      <c r="GL125" s="29">
        <v>0</v>
      </c>
      <c r="GM125" s="28">
        <v>44.019669519467271</v>
      </c>
      <c r="GN125" s="29">
        <v>0</v>
      </c>
      <c r="GO125" s="28">
        <v>44.034047605752257</v>
      </c>
      <c r="GP125" s="29">
        <v>0</v>
      </c>
      <c r="GQ125" s="28">
        <v>44.048430388332498</v>
      </c>
      <c r="GR125" s="29">
        <v>0</v>
      </c>
      <c r="GS125" s="28">
        <v>44.062817868741938</v>
      </c>
      <c r="GT125" s="29">
        <v>0</v>
      </c>
    </row>
    <row r="126" spans="17:202" x14ac:dyDescent="0.25">
      <c r="BW126" s="28">
        <v>41.314818716094891</v>
      </c>
      <c r="BX126" s="29">
        <v>3.9261420822837302E-6</v>
      </c>
      <c r="BY126" s="28">
        <v>41.328313320548588</v>
      </c>
      <c r="BZ126" s="29">
        <v>3.927424472865996E-6</v>
      </c>
      <c r="CA126" s="28">
        <v>41.341812332727066</v>
      </c>
      <c r="CB126" s="29">
        <v>3.928707282313797E-6</v>
      </c>
      <c r="CC126" s="28">
        <v>41.355315754069998</v>
      </c>
      <c r="CD126" s="29">
        <v>3.9299905107639468E-6</v>
      </c>
      <c r="CE126" s="28">
        <v>41.368823586017527</v>
      </c>
      <c r="CF126" s="29">
        <v>3.2336422674943123E-6</v>
      </c>
      <c r="CG126" s="28">
        <v>41.382335830010284</v>
      </c>
      <c r="CH126" s="29">
        <v>2.6408358502102476E-6</v>
      </c>
      <c r="CI126" s="28">
        <v>41.3958524874894</v>
      </c>
      <c r="CJ126" s="29">
        <v>2.1349404452863291E-6</v>
      </c>
      <c r="CK126" s="28">
        <v>41.409373559896416</v>
      </c>
      <c r="CL126" s="29">
        <v>1.6987348865608343E-6</v>
      </c>
      <c r="CM126" s="28">
        <v>41.422899048673393</v>
      </c>
      <c r="CN126" s="29">
        <v>1.3405681369649132E-6</v>
      </c>
      <c r="CO126" s="28">
        <v>41.436428955262812</v>
      </c>
      <c r="CP126" s="29">
        <v>1.04866548198094E-6</v>
      </c>
      <c r="CQ126" s="28">
        <v>41.449963281107706</v>
      </c>
      <c r="CR126" s="29">
        <v>8.1271479616077507E-7</v>
      </c>
      <c r="CS126" s="28">
        <v>41.463502027651479</v>
      </c>
      <c r="CT126" s="29">
        <v>6.2386499058213612E-7</v>
      </c>
      <c r="CU126" s="28">
        <v>41.477045196338111</v>
      </c>
      <c r="CV126" s="29">
        <v>4.7407091506334382E-7</v>
      </c>
      <c r="CW126" s="28">
        <v>41.490592788611934</v>
      </c>
      <c r="CX126" s="29">
        <v>3.5638963967469466E-7</v>
      </c>
      <c r="CY126" s="28">
        <v>41.504144805917889</v>
      </c>
      <c r="CZ126" s="29">
        <v>2.6487600489053681E-7</v>
      </c>
      <c r="DA126" s="28">
        <v>41.517701249701268</v>
      </c>
      <c r="DB126" s="29">
        <v>1.944788487818304E-7</v>
      </c>
      <c r="DC126" s="28">
        <v>41.531262121407906</v>
      </c>
      <c r="DD126" s="29">
        <v>1.4094850359567179E-7</v>
      </c>
      <c r="DE126" s="28">
        <v>41.544827422484111</v>
      </c>
      <c r="DF126" s="29">
        <v>1.0074392523235388E-7</v>
      </c>
      <c r="DG126" s="28">
        <v>41.558397154376614</v>
      </c>
      <c r="DH126" s="29">
        <v>7.0944844474039323E-8</v>
      </c>
      <c r="DI126" s="28">
        <v>41.571971318532633</v>
      </c>
      <c r="DJ126" s="29">
        <v>4.9169496527206675E-8</v>
      </c>
      <c r="DK126" s="28">
        <v>41.585549916399891</v>
      </c>
      <c r="DL126" s="29">
        <v>3.3498311491508414E-8</v>
      </c>
      <c r="DM126" s="28">
        <v>41.599132949426576</v>
      </c>
      <c r="DN126" s="29">
        <v>2.2403928121041624E-8</v>
      </c>
      <c r="DO126" s="28">
        <v>41.612720419061333</v>
      </c>
      <c r="DP126" s="29">
        <v>1.4687747650778783E-8</v>
      </c>
      <c r="DQ126" s="28">
        <v>41.626312326753258</v>
      </c>
      <c r="DR126" s="29">
        <v>9.4231253611231974E-9</v>
      </c>
      <c r="DS126" s="28">
        <v>41.639908673951979</v>
      </c>
      <c r="DT126" s="29">
        <v>5.9051771124255771E-9</v>
      </c>
      <c r="DU126" s="28">
        <v>41.653509462107543</v>
      </c>
      <c r="DV126" s="29">
        <v>3.6070603180204343E-9</v>
      </c>
      <c r="DW126" s="28">
        <v>41.667114692670523</v>
      </c>
      <c r="DX126" s="29">
        <v>2.142477531542455E-9</v>
      </c>
      <c r="DY126" s="28">
        <v>41.680724367091919</v>
      </c>
      <c r="DZ126" s="29">
        <v>1.2340502322828347E-9</v>
      </c>
      <c r="EA126" s="28">
        <v>41.694338486823249</v>
      </c>
      <c r="EB126" s="29">
        <v>6.8712426819337633E-10</v>
      </c>
      <c r="EC126" s="28">
        <v>41.707957053316427</v>
      </c>
      <c r="ED126" s="29">
        <v>3.6850008053382914E-10</v>
      </c>
      <c r="EE126" s="28">
        <v>41.721580068023947</v>
      </c>
      <c r="EF126" s="29">
        <v>1.8953285004863568E-10</v>
      </c>
      <c r="EG126" s="28">
        <v>41.735207532398647</v>
      </c>
      <c r="EH126" s="29">
        <v>9.3021633670650328E-11</v>
      </c>
      <c r="EI126" s="28">
        <v>41.748839447893999</v>
      </c>
      <c r="EJ126" s="29">
        <v>4.3302767191345632E-11</v>
      </c>
      <c r="EK126" s="28">
        <v>41.762475815963839</v>
      </c>
      <c r="EL126" s="29">
        <v>1.8980341377392312E-11</v>
      </c>
      <c r="EM126" s="28">
        <v>41.776116638062483</v>
      </c>
      <c r="EN126" s="29">
        <v>7.7631375610117799E-12</v>
      </c>
      <c r="EO126" s="28">
        <v>41.789761915644775</v>
      </c>
      <c r="EP126" s="29">
        <v>2.9295441121878395E-12</v>
      </c>
      <c r="EQ126" s="28">
        <v>41.803411650165977</v>
      </c>
      <c r="ER126" s="29">
        <v>1.00522108964036E-12</v>
      </c>
      <c r="ES126" s="28">
        <v>41.817065843081885</v>
      </c>
      <c r="ET126" s="29">
        <v>3.0761510854038457E-13</v>
      </c>
      <c r="EU126" s="28">
        <v>41.830724495848713</v>
      </c>
      <c r="EV126" s="29">
        <v>8.1729599209631517E-14</v>
      </c>
      <c r="EW126" s="28">
        <v>41.844387609923167</v>
      </c>
      <c r="EX126" s="29">
        <v>1.8124335013647892E-14</v>
      </c>
      <c r="EY126" s="28">
        <v>41.858055186762464</v>
      </c>
      <c r="EZ126" s="29">
        <v>3.1498061631706001E-15</v>
      </c>
      <c r="FA126" s="28">
        <v>41.871727227824259</v>
      </c>
      <c r="FB126" s="29">
        <v>3.8194083144222316E-16</v>
      </c>
      <c r="FC126" s="28">
        <v>41.885403734566701</v>
      </c>
      <c r="FD126" s="29">
        <v>2.427821006686975E-17</v>
      </c>
      <c r="FE126" s="28">
        <v>41.899084708448413</v>
      </c>
      <c r="FF126" s="29">
        <v>0</v>
      </c>
      <c r="FG126" s="28">
        <v>41.91277015092848</v>
      </c>
      <c r="FH126" s="29">
        <v>0</v>
      </c>
      <c r="FI126" s="28">
        <v>41.92646006346645</v>
      </c>
      <c r="FJ126" s="29">
        <v>0</v>
      </c>
      <c r="FK126" s="28">
        <v>41.94015444752241</v>
      </c>
      <c r="FL126" s="29">
        <v>0</v>
      </c>
      <c r="FM126" s="28">
        <v>41.953853304556915</v>
      </c>
      <c r="FN126" s="29">
        <v>0</v>
      </c>
      <c r="FO126" s="28">
        <v>41.967556636030892</v>
      </c>
      <c r="FP126" s="29">
        <v>0</v>
      </c>
      <c r="FQ126" s="28">
        <v>41.981264443405856</v>
      </c>
      <c r="FR126" s="29">
        <v>0</v>
      </c>
      <c r="FS126" s="28">
        <v>41.99497672814379</v>
      </c>
      <c r="FT126" s="29">
        <v>0</v>
      </c>
      <c r="FU126" s="28">
        <v>42.008693491707085</v>
      </c>
      <c r="FV126" s="29">
        <v>0</v>
      </c>
      <c r="FW126" s="28">
        <v>42.022414735558684</v>
      </c>
      <c r="FX126" s="29">
        <v>0</v>
      </c>
      <c r="FY126" s="28">
        <v>42.036140461161963</v>
      </c>
      <c r="FZ126" s="29">
        <v>0</v>
      </c>
      <c r="GA126" s="28">
        <v>42.049870669980798</v>
      </c>
      <c r="GB126" s="29">
        <v>0</v>
      </c>
      <c r="GC126" s="28">
        <v>42.063605363479525</v>
      </c>
      <c r="GD126" s="29">
        <v>0</v>
      </c>
      <c r="GE126" s="28">
        <v>42.07734454312299</v>
      </c>
      <c r="GF126" s="29">
        <v>0</v>
      </c>
      <c r="GG126" s="28">
        <v>42.091088210376469</v>
      </c>
      <c r="GH126" s="29">
        <v>0</v>
      </c>
      <c r="GI126" s="28">
        <v>42.104836366705783</v>
      </c>
      <c r="GJ126" s="29">
        <v>0</v>
      </c>
      <c r="GK126" s="28">
        <v>42.11858901357715</v>
      </c>
      <c r="GL126" s="29">
        <v>0</v>
      </c>
      <c r="GM126" s="28">
        <v>42.13234615245733</v>
      </c>
      <c r="GN126" s="29">
        <v>0</v>
      </c>
      <c r="GO126" s="28">
        <v>42.146107784813537</v>
      </c>
      <c r="GP126" s="29">
        <v>0</v>
      </c>
      <c r="GQ126" s="28">
        <v>42.159873912113483</v>
      </c>
      <c r="GR126" s="29">
        <v>0</v>
      </c>
      <c r="GS126" s="28">
        <v>42.173644535825325</v>
      </c>
      <c r="GT126" s="29">
        <v>0</v>
      </c>
    </row>
    <row r="127" spans="17:202" x14ac:dyDescent="0.25">
      <c r="CE127" s="28">
        <v>39.59515403620243</v>
      </c>
      <c r="CF127" s="29">
        <v>4.6869559959123723E-7</v>
      </c>
      <c r="CG127" s="28">
        <v>39.608086948862017</v>
      </c>
      <c r="CH127" s="29">
        <v>4.6884868901344059E-7</v>
      </c>
      <c r="CI127" s="28">
        <v>39.621024085781741</v>
      </c>
      <c r="CJ127" s="29">
        <v>4.6900182843903893E-7</v>
      </c>
      <c r="CK127" s="28">
        <v>39.633965448341336</v>
      </c>
      <c r="CL127" s="29">
        <v>4.6915501788436479E-7</v>
      </c>
      <c r="CM127" s="28">
        <v>39.646911037921029</v>
      </c>
      <c r="CN127" s="29">
        <v>3.662536786217271E-7</v>
      </c>
      <c r="CO127" s="28">
        <v>39.659860855901456</v>
      </c>
      <c r="CP127" s="29">
        <v>2.8322979846815335E-7</v>
      </c>
      <c r="CQ127" s="28">
        <v>39.672814903663792</v>
      </c>
      <c r="CR127" s="29">
        <v>2.1634938808978454E-7</v>
      </c>
      <c r="CS127" s="28">
        <v>39.685773182589543</v>
      </c>
      <c r="CT127" s="29">
        <v>1.6217400253600784E-7</v>
      </c>
      <c r="CU127" s="28">
        <v>39.69873569406078</v>
      </c>
      <c r="CV127" s="29">
        <v>1.2020359100663569E-7</v>
      </c>
      <c r="CW127" s="28">
        <v>39.71170243945992</v>
      </c>
      <c r="CX127" s="29">
        <v>8.8029037990243245E-8</v>
      </c>
      <c r="CY127" s="28">
        <v>39.724673420169935</v>
      </c>
      <c r="CZ127" s="29">
        <v>6.3643254323504598E-8</v>
      </c>
      <c r="DA127" s="28">
        <v>39.737648637574175</v>
      </c>
      <c r="DB127" s="29">
        <v>4.5397835982980026E-8</v>
      </c>
      <c r="DC127" s="28">
        <v>39.750628093056463</v>
      </c>
      <c r="DD127" s="29">
        <v>3.1921047697031416E-8</v>
      </c>
      <c r="DE127" s="28">
        <v>39.763611788001114</v>
      </c>
      <c r="DF127" s="29">
        <v>2.2102567709272843E-8</v>
      </c>
      <c r="DG127" s="28">
        <v>39.77659972379282</v>
      </c>
      <c r="DH127" s="29">
        <v>1.5054043011600716E-8</v>
      </c>
      <c r="DI127" s="28">
        <v>39.789591901816756</v>
      </c>
      <c r="DJ127" s="29">
        <v>1.0073425522060829E-8</v>
      </c>
      <c r="DK127" s="28">
        <v>39.802588323458572</v>
      </c>
      <c r="DL127" s="29">
        <v>6.6134109600653443E-9</v>
      </c>
      <c r="DM127" s="28">
        <v>39.815588990104359</v>
      </c>
      <c r="DN127" s="29">
        <v>4.2534561344861746E-9</v>
      </c>
      <c r="DO127" s="28">
        <v>39.828593903140664</v>
      </c>
      <c r="DP127" s="29">
        <v>2.6754254338853367E-9</v>
      </c>
      <c r="DQ127" s="28">
        <v>39.841603063954452</v>
      </c>
      <c r="DR127" s="29">
        <v>1.6426845665051874E-9</v>
      </c>
      <c r="DS127" s="28">
        <v>39.854616473933191</v>
      </c>
      <c r="DT127" s="29">
        <v>9.8241703870182942E-10</v>
      </c>
      <c r="DU127" s="28">
        <v>39.867634134464765</v>
      </c>
      <c r="DV127" s="29">
        <v>5.7090322646773497E-10</v>
      </c>
      <c r="DW127" s="28">
        <v>39.880656046937553</v>
      </c>
      <c r="DX127" s="29">
        <v>3.2147623519163644E-10</v>
      </c>
      <c r="DY127" s="28">
        <v>39.893682212740337</v>
      </c>
      <c r="DZ127" s="29">
        <v>1.7485159626725261E-10</v>
      </c>
      <c r="EA127" s="28">
        <v>39.906712633262416</v>
      </c>
      <c r="EB127" s="29">
        <v>9.1520786243485007E-11</v>
      </c>
      <c r="EC127" s="28">
        <v>39.919747309893438</v>
      </c>
      <c r="ED127" s="29">
        <v>4.5901167352566297E-11</v>
      </c>
      <c r="EE127" s="28">
        <v>39.932786244023632</v>
      </c>
      <c r="EF127" s="29">
        <v>2.1946619444094839E-11</v>
      </c>
      <c r="EG127" s="28">
        <v>39.945829437043542</v>
      </c>
      <c r="EH127" s="29">
        <v>9.9427720162105065E-12</v>
      </c>
      <c r="EI127" s="28">
        <v>39.958876890344328</v>
      </c>
      <c r="EJ127" s="29">
        <v>4.2368412355477971E-12</v>
      </c>
      <c r="EK127" s="28">
        <v>39.971928605317487</v>
      </c>
      <c r="EL127" s="29">
        <v>1.6827991368834709E-12</v>
      </c>
      <c r="EM127" s="28">
        <v>39.984984583354986</v>
      </c>
      <c r="EN127" s="29">
        <v>6.1593129691913514E-13</v>
      </c>
      <c r="EO127" s="28">
        <v>39.998044825849298</v>
      </c>
      <c r="EP127" s="29">
        <v>2.0472868184461684E-13</v>
      </c>
      <c r="EQ127" s="28">
        <v>40.011109334193279</v>
      </c>
      <c r="ER127" s="29">
        <v>6.060681776403802E-14</v>
      </c>
      <c r="ES127" s="28">
        <v>40.024178109780316</v>
      </c>
      <c r="ET127" s="29">
        <v>1.5554733352181994E-14</v>
      </c>
      <c r="EU127" s="28">
        <v>40.037251154004188</v>
      </c>
      <c r="EV127" s="29">
        <v>3.3269346826658447E-15</v>
      </c>
      <c r="EW127" s="28">
        <v>40.050328468259146</v>
      </c>
      <c r="EX127" s="29">
        <v>5.5673327837156822E-16</v>
      </c>
      <c r="EY127" s="28">
        <v>40.063410053939926</v>
      </c>
      <c r="EZ127" s="29">
        <v>6.4888885755797214E-17</v>
      </c>
      <c r="FA127" s="28">
        <v>40.076495912441686</v>
      </c>
      <c r="FB127" s="29">
        <v>3.9570659282935629E-18</v>
      </c>
      <c r="FC127" s="28">
        <v>40.089586045160068</v>
      </c>
      <c r="FD127" s="29">
        <v>0</v>
      </c>
      <c r="FE127" s="28">
        <v>40.102680453491146</v>
      </c>
      <c r="FF127" s="29">
        <v>0</v>
      </c>
      <c r="FG127" s="28">
        <v>40.115779138831449</v>
      </c>
      <c r="FH127" s="29">
        <v>0</v>
      </c>
      <c r="FI127" s="28">
        <v>40.128882102577954</v>
      </c>
      <c r="FJ127" s="29">
        <v>0</v>
      </c>
      <c r="FK127" s="28">
        <v>40.141989346128142</v>
      </c>
      <c r="FL127" s="29">
        <v>0</v>
      </c>
      <c r="FM127" s="28">
        <v>40.155100870879949</v>
      </c>
      <c r="FN127" s="29">
        <v>0</v>
      </c>
      <c r="FO127" s="28">
        <v>40.168216678231659</v>
      </c>
      <c r="FP127" s="29">
        <v>0</v>
      </c>
      <c r="FQ127" s="28">
        <v>40.181336769582138</v>
      </c>
      <c r="FR127" s="29">
        <v>0</v>
      </c>
      <c r="FS127" s="28">
        <v>40.194461146330674</v>
      </c>
      <c r="FT127" s="29">
        <v>0</v>
      </c>
      <c r="FU127" s="28">
        <v>40.207589809876971</v>
      </c>
      <c r="FV127" s="29">
        <v>0</v>
      </c>
      <c r="FW127" s="28">
        <v>40.220722761621239</v>
      </c>
      <c r="FX127" s="29">
        <v>0</v>
      </c>
      <c r="FY127" s="28">
        <v>40.233860002964121</v>
      </c>
      <c r="FZ127" s="29">
        <v>0</v>
      </c>
      <c r="GA127" s="28">
        <v>40.247001535306723</v>
      </c>
      <c r="GB127" s="29">
        <v>0</v>
      </c>
      <c r="GC127" s="28">
        <v>40.260147360050595</v>
      </c>
      <c r="GD127" s="29">
        <v>0</v>
      </c>
      <c r="GE127" s="28">
        <v>40.27329747859779</v>
      </c>
      <c r="GF127" s="29">
        <v>0</v>
      </c>
      <c r="GG127" s="28">
        <v>40.286451892350755</v>
      </c>
      <c r="GH127" s="29">
        <v>0</v>
      </c>
      <c r="GI127" s="28">
        <v>40.299610602712463</v>
      </c>
      <c r="GJ127" s="29">
        <v>0</v>
      </c>
      <c r="GK127" s="28">
        <v>40.312773611086264</v>
      </c>
      <c r="GL127" s="29">
        <v>0</v>
      </c>
      <c r="GM127" s="28">
        <v>40.325940918876043</v>
      </c>
      <c r="GN127" s="29">
        <v>0</v>
      </c>
      <c r="GO127" s="28">
        <v>40.339112527486108</v>
      </c>
      <c r="GP127" s="29">
        <v>0</v>
      </c>
      <c r="GQ127" s="28">
        <v>40.352288438321231</v>
      </c>
      <c r="GR127" s="29">
        <v>0</v>
      </c>
      <c r="GS127" s="28">
        <v>40.365468652786625</v>
      </c>
      <c r="GT127" s="29">
        <v>0</v>
      </c>
    </row>
    <row r="128" spans="17:202" x14ac:dyDescent="0.25">
      <c r="CM128" s="28">
        <v>37.947067707690174</v>
      </c>
      <c r="CN128" s="29">
        <v>3.8687899349606397E-8</v>
      </c>
      <c r="CO128" s="28">
        <v>37.959462308097649</v>
      </c>
      <c r="CP128" s="29">
        <v>3.8700535926870743E-8</v>
      </c>
      <c r="CQ128" s="28">
        <v>37.971860956937043</v>
      </c>
      <c r="CR128" s="29">
        <v>3.8713176631603564E-8</v>
      </c>
      <c r="CS128" s="28">
        <v>37.98426365553064</v>
      </c>
      <c r="CT128" s="29">
        <v>3.8725821465153011E-8</v>
      </c>
      <c r="CU128" s="28">
        <v>37.996670405201257</v>
      </c>
      <c r="CV128" s="29">
        <v>2.820377616819787E-8</v>
      </c>
      <c r="CW128" s="28">
        <v>38.00908120727204</v>
      </c>
      <c r="CX128" s="29">
        <v>2.0283439266830987E-8</v>
      </c>
      <c r="CY128" s="28">
        <v>38.021496063066671</v>
      </c>
      <c r="CZ128" s="29">
        <v>1.4362259356421483E-8</v>
      </c>
      <c r="DA128" s="28">
        <v>38.03391497390917</v>
      </c>
      <c r="DB128" s="29">
        <v>9.9392116835817505E-9</v>
      </c>
      <c r="DC128" s="28">
        <v>38.046337941124051</v>
      </c>
      <c r="DD128" s="29">
        <v>6.7697762565476311E-9</v>
      </c>
      <c r="DE128" s="28">
        <v>38.058764966036271</v>
      </c>
      <c r="DF128" s="29">
        <v>4.5328957938622833E-9</v>
      </c>
      <c r="DG128" s="28">
        <v>38.071196049971142</v>
      </c>
      <c r="DH128" s="29">
        <v>2.9798335192613103E-9</v>
      </c>
      <c r="DI128" s="28">
        <v>38.083631194254473</v>
      </c>
      <c r="DJ128" s="29">
        <v>1.9208463058599175E-9</v>
      </c>
      <c r="DK128" s="28">
        <v>38.096070400212483</v>
      </c>
      <c r="DL128" s="29">
        <v>1.2123003808247227E-9</v>
      </c>
      <c r="DM128" s="28">
        <v>38.108513669171842</v>
      </c>
      <c r="DN128" s="29">
        <v>7.4782389466981741E-10</v>
      </c>
      <c r="DO128" s="28">
        <v>38.120961002459659</v>
      </c>
      <c r="DP128" s="29">
        <v>4.5001133785617574E-10</v>
      </c>
      <c r="DQ128" s="28">
        <v>38.133412401403419</v>
      </c>
      <c r="DR128" s="29">
        <v>2.6359660823418833E-10</v>
      </c>
      <c r="DS128" s="28">
        <v>38.145867867331113</v>
      </c>
      <c r="DT128" s="29">
        <v>1.4992661528791976E-10</v>
      </c>
      <c r="DU128" s="28">
        <v>38.158327401571121</v>
      </c>
      <c r="DV128" s="29">
        <v>8.2569547090823768E-11</v>
      </c>
      <c r="DW128" s="28">
        <v>38.170791005452287</v>
      </c>
      <c r="DX128" s="29">
        <v>4.3889605067816326E-11</v>
      </c>
      <c r="DY128" s="28">
        <v>38.183258680303851</v>
      </c>
      <c r="DZ128" s="29">
        <v>2.2432708931026466E-11</v>
      </c>
      <c r="EA128" s="28">
        <v>38.195730427455558</v>
      </c>
      <c r="EB128" s="29">
        <v>1.0977054548137464E-11</v>
      </c>
      <c r="EC128" s="28">
        <v>38.20820624823746</v>
      </c>
      <c r="ED128" s="29">
        <v>5.1161113162890725E-12</v>
      </c>
      <c r="EE128" s="28">
        <v>38.220686143980195</v>
      </c>
      <c r="EF128" s="29">
        <v>2.2572446918153347E-12</v>
      </c>
      <c r="EG128" s="28">
        <v>38.233170116014676</v>
      </c>
      <c r="EH128" s="29">
        <v>9.3578782930510911E-13</v>
      </c>
      <c r="EI128" s="28">
        <v>38.245658165672424</v>
      </c>
      <c r="EJ128" s="29">
        <v>3.6121980668216076E-13</v>
      </c>
      <c r="EK128" s="28">
        <v>38.258150294285272</v>
      </c>
      <c r="EL128" s="29">
        <v>1.2834777118992028E-13</v>
      </c>
      <c r="EM128" s="28">
        <v>38.27064650318551</v>
      </c>
      <c r="EN128" s="29">
        <v>4.1365146368327343E-14</v>
      </c>
      <c r="EO128" s="28">
        <v>38.28314679370591</v>
      </c>
      <c r="EP128" s="29">
        <v>1.1858448725932639E-14</v>
      </c>
      <c r="EQ128" s="28">
        <v>38.295651167179614</v>
      </c>
      <c r="ER128" s="29">
        <v>2.943302502126914E-15</v>
      </c>
      <c r="ES128" s="28">
        <v>38.308159624940259</v>
      </c>
      <c r="ET128" s="29">
        <v>6.0793798632201752E-16</v>
      </c>
      <c r="EU128" s="28">
        <v>38.32067216832187</v>
      </c>
      <c r="EV128" s="29">
        <v>9.8093255005791694E-17</v>
      </c>
      <c r="EW128" s="28">
        <v>38.333188798658924</v>
      </c>
      <c r="EX128" s="29">
        <v>1.1005929530826749E-17</v>
      </c>
      <c r="EY128" s="28">
        <v>38.345709517286352</v>
      </c>
      <c r="EZ128" s="29">
        <v>6.4495573264013507E-19</v>
      </c>
      <c r="FA128" s="28">
        <v>38.358234325539499</v>
      </c>
      <c r="FB128" s="29">
        <v>0</v>
      </c>
      <c r="FC128" s="28">
        <v>38.370763224754171</v>
      </c>
      <c r="FD128" s="29">
        <v>0</v>
      </c>
      <c r="FE128" s="28">
        <v>38.383296216266579</v>
      </c>
      <c r="FF128" s="29">
        <v>0</v>
      </c>
      <c r="FG128" s="28">
        <v>38.395833301413383</v>
      </c>
      <c r="FH128" s="29">
        <v>0</v>
      </c>
      <c r="FI128" s="28">
        <v>38.408374481531666</v>
      </c>
      <c r="FJ128" s="29">
        <v>0</v>
      </c>
      <c r="FK128" s="28">
        <v>38.420919757958984</v>
      </c>
      <c r="FL128" s="29">
        <v>0</v>
      </c>
      <c r="FM128" s="28">
        <v>38.433469132033352</v>
      </c>
      <c r="FN128" s="29">
        <v>0</v>
      </c>
      <c r="FO128" s="28">
        <v>38.446022605093084</v>
      </c>
      <c r="FP128" s="29">
        <v>0</v>
      </c>
      <c r="FQ128" s="28">
        <v>38.458580178477092</v>
      </c>
      <c r="FR128" s="29">
        <v>0</v>
      </c>
      <c r="FS128" s="28">
        <v>38.471141853524649</v>
      </c>
      <c r="FT128" s="29">
        <v>0</v>
      </c>
      <c r="FU128" s="28">
        <v>38.483707631575463</v>
      </c>
      <c r="FV128" s="29">
        <v>0</v>
      </c>
      <c r="FW128" s="28">
        <v>38.496277513969702</v>
      </c>
      <c r="FX128" s="29">
        <v>0</v>
      </c>
      <c r="FY128" s="28">
        <v>38.50885150204796</v>
      </c>
      <c r="FZ128" s="29">
        <v>0</v>
      </c>
      <c r="GA128" s="28">
        <v>38.521429597151275</v>
      </c>
      <c r="GB128" s="29">
        <v>0</v>
      </c>
      <c r="GC128" s="28">
        <v>38.534011800621101</v>
      </c>
      <c r="GD128" s="29">
        <v>0</v>
      </c>
      <c r="GE128" s="28">
        <v>38.546598113799377</v>
      </c>
      <c r="GF128" s="29">
        <v>0</v>
      </c>
      <c r="GG128" s="28">
        <v>38.559188538028422</v>
      </c>
      <c r="GH128" s="29">
        <v>0</v>
      </c>
      <c r="GI128" s="28">
        <v>38.571783074651059</v>
      </c>
      <c r="GJ128" s="29">
        <v>0</v>
      </c>
      <c r="GK128" s="28">
        <v>38.584381725010473</v>
      </c>
      <c r="GL128" s="29">
        <v>0</v>
      </c>
      <c r="GM128" s="28">
        <v>38.596984490450353</v>
      </c>
      <c r="GN128" s="29">
        <v>0</v>
      </c>
      <c r="GO128" s="28">
        <v>38.609591372314803</v>
      </c>
      <c r="GP128" s="29">
        <v>0</v>
      </c>
      <c r="GQ128" s="28">
        <v>38.622202371948362</v>
      </c>
      <c r="GR128" s="29">
        <v>0</v>
      </c>
      <c r="GS128" s="28">
        <v>38.634817490695994</v>
      </c>
      <c r="GT128" s="29">
        <v>0</v>
      </c>
    </row>
    <row r="129" spans="99:202" x14ac:dyDescent="0.25">
      <c r="CU129" s="28">
        <v>36.367580393687255</v>
      </c>
      <c r="CV129" s="29">
        <v>1.9916682325745792E-9</v>
      </c>
      <c r="CW129" s="28">
        <v>36.379459088247756</v>
      </c>
      <c r="CX129" s="29">
        <v>1.9923187685284297E-9</v>
      </c>
      <c r="CY129" s="28">
        <v>36.391341662730532</v>
      </c>
      <c r="CZ129" s="29">
        <v>1.9929695169659763E-9</v>
      </c>
      <c r="DA129" s="28">
        <v>36.403228118402836</v>
      </c>
      <c r="DB129" s="29">
        <v>1.993620477956622E-9</v>
      </c>
      <c r="DC129" s="28">
        <v>36.415118456532397</v>
      </c>
      <c r="DD129" s="29">
        <v>1.3218824195694391E-9</v>
      </c>
      <c r="DE129" s="28">
        <v>36.427012678387364</v>
      </c>
      <c r="DF129" s="29">
        <v>8.6096164308087861E-10</v>
      </c>
      <c r="DG129" s="28">
        <v>36.438910785236224</v>
      </c>
      <c r="DH129" s="29">
        <v>5.4914578294170565E-10</v>
      </c>
      <c r="DI129" s="28">
        <v>36.450812778347945</v>
      </c>
      <c r="DJ129" s="29">
        <v>3.4023639505256384E-10</v>
      </c>
      <c r="DK129" s="28">
        <v>36.462718658991889</v>
      </c>
      <c r="DL129" s="29">
        <v>2.0591715331742917E-10</v>
      </c>
      <c r="DM129" s="28">
        <v>36.474628428437839</v>
      </c>
      <c r="DN129" s="29">
        <v>1.2149842010084514E-10</v>
      </c>
      <c r="DO129" s="28">
        <v>36.486542087956011</v>
      </c>
      <c r="DP129" s="29">
        <v>6.973456363976756E-11</v>
      </c>
      <c r="DQ129" s="28">
        <v>36.498459638816975</v>
      </c>
      <c r="DR129" s="29">
        <v>3.8835179849655744E-11</v>
      </c>
      <c r="DS129" s="28">
        <v>36.510381082291772</v>
      </c>
      <c r="DT129" s="29">
        <v>2.0926781746765699E-11</v>
      </c>
      <c r="DU129" s="28">
        <v>36.522306419651841</v>
      </c>
      <c r="DV129" s="29">
        <v>1.0875839954021366E-11</v>
      </c>
      <c r="DW129" s="28">
        <v>36.534235652169052</v>
      </c>
      <c r="DX129" s="29">
        <v>5.4308530182975419E-12</v>
      </c>
      <c r="DY129" s="28">
        <v>36.546168781115647</v>
      </c>
      <c r="DZ129" s="29">
        <v>2.594220603918564E-12</v>
      </c>
      <c r="EA129" s="28">
        <v>36.558105807764363</v>
      </c>
      <c r="EB129" s="29">
        <v>1.1793072175398315E-12</v>
      </c>
      <c r="EC129" s="28">
        <v>36.570046733388232</v>
      </c>
      <c r="ED129" s="29">
        <v>5.0704071112381232E-13</v>
      </c>
      <c r="EE129" s="28">
        <v>36.581991559260835</v>
      </c>
      <c r="EF129" s="29">
        <v>2.0464861278015914E-13</v>
      </c>
      <c r="EG129" s="28">
        <v>36.593940286656021</v>
      </c>
      <c r="EH129" s="29">
        <v>7.6831122872835627E-14</v>
      </c>
      <c r="EI129" s="28">
        <v>36.605892916848227</v>
      </c>
      <c r="EJ129" s="29">
        <v>2.6523465853674028E-14</v>
      </c>
      <c r="EK129" s="28">
        <v>36.617849451112178</v>
      </c>
      <c r="EL129" s="29">
        <v>8.2959850481870417E-15</v>
      </c>
      <c r="EM129" s="28">
        <v>36.62980989072306</v>
      </c>
      <c r="EN129" s="29">
        <v>2.3053590032930934E-15</v>
      </c>
      <c r="EO129" s="28">
        <v>36.641774236956479</v>
      </c>
      <c r="EP129" s="29">
        <v>5.5395795286638991E-16</v>
      </c>
      <c r="EQ129" s="28">
        <v>36.653742491088437</v>
      </c>
      <c r="ER129" s="29">
        <v>1.1062453964677706E-16</v>
      </c>
      <c r="ES129" s="28">
        <v>36.66571465439538</v>
      </c>
      <c r="ET129" s="29">
        <v>1.7233065896512819E-17</v>
      </c>
      <c r="EU129" s="28">
        <v>36.677690728154147</v>
      </c>
      <c r="EV129" s="29">
        <v>1.8638902346508606E-18</v>
      </c>
      <c r="EW129" s="28">
        <v>36.689670713641995</v>
      </c>
      <c r="EX129" s="29">
        <v>1.0512028472686792E-19</v>
      </c>
      <c r="EY129" s="28">
        <v>36.701654612136622</v>
      </c>
      <c r="EZ129" s="29">
        <v>0</v>
      </c>
      <c r="FA129" s="28">
        <v>36.713642424916124</v>
      </c>
      <c r="FB129" s="29">
        <v>0</v>
      </c>
      <c r="FC129" s="28">
        <v>36.725634153259023</v>
      </c>
      <c r="FD129" s="29">
        <v>0</v>
      </c>
      <c r="FE129" s="28">
        <v>36.737629798444253</v>
      </c>
      <c r="FF129" s="29">
        <v>0</v>
      </c>
      <c r="FG129" s="28">
        <v>36.749629361751161</v>
      </c>
      <c r="FH129" s="29">
        <v>0</v>
      </c>
      <c r="FI129" s="28">
        <v>36.761632844459506</v>
      </c>
      <c r="FJ129" s="29">
        <v>0</v>
      </c>
      <c r="FK129" s="28">
        <v>36.773640247849485</v>
      </c>
      <c r="FL129" s="29">
        <v>0</v>
      </c>
      <c r="FM129" s="28">
        <v>36.785651573201761</v>
      </c>
      <c r="FN129" s="29">
        <v>0</v>
      </c>
      <c r="FO129" s="28">
        <v>36.797666821797264</v>
      </c>
      <c r="FP129" s="29">
        <v>0</v>
      </c>
      <c r="FQ129" s="28">
        <v>36.809685994917494</v>
      </c>
      <c r="FR129" s="29">
        <v>0</v>
      </c>
      <c r="FS129" s="28">
        <v>36.821709093844312</v>
      </c>
      <c r="FT129" s="29">
        <v>0</v>
      </c>
      <c r="FU129" s="28">
        <v>36.833736119859985</v>
      </c>
      <c r="FV129" s="29">
        <v>0</v>
      </c>
      <c r="FW129" s="28">
        <v>36.845767074247213</v>
      </c>
      <c r="FX129" s="29">
        <v>0</v>
      </c>
      <c r="FY129" s="28">
        <v>36.857801958289123</v>
      </c>
      <c r="FZ129" s="29">
        <v>0</v>
      </c>
      <c r="GA129" s="28">
        <v>36.86984077326926</v>
      </c>
      <c r="GB129" s="29">
        <v>0</v>
      </c>
      <c r="GC129" s="28">
        <v>36.881883520471547</v>
      </c>
      <c r="GD129" s="29">
        <v>0</v>
      </c>
      <c r="GE129" s="28">
        <v>36.893930201180403</v>
      </c>
      <c r="GF129" s="29">
        <v>0</v>
      </c>
      <c r="GG129" s="28">
        <v>36.905980816680589</v>
      </c>
      <c r="GH129" s="29">
        <v>0</v>
      </c>
      <c r="GI129" s="28">
        <v>36.918035368257357</v>
      </c>
      <c r="GJ129" s="29">
        <v>0</v>
      </c>
      <c r="GK129" s="28">
        <v>36.930093857196312</v>
      </c>
      <c r="GL129" s="29">
        <v>0</v>
      </c>
      <c r="GM129" s="28">
        <v>36.942156284783515</v>
      </c>
      <c r="GN129" s="29">
        <v>0</v>
      </c>
      <c r="GO129" s="28">
        <v>36.954222652305454</v>
      </c>
      <c r="GP129" s="29">
        <v>0</v>
      </c>
      <c r="GQ129" s="28">
        <v>36.966292961049014</v>
      </c>
      <c r="GR129" s="29">
        <v>0</v>
      </c>
      <c r="GS129" s="28">
        <v>36.978367212301507</v>
      </c>
      <c r="GT129" s="29">
        <v>0</v>
      </c>
    </row>
    <row r="130" spans="99:202" x14ac:dyDescent="0.25">
      <c r="DC130" s="28">
        <v>34.853836767558001</v>
      </c>
      <c r="DD130" s="29">
        <v>5.4783032482163853E-11</v>
      </c>
      <c r="DE130" s="28">
        <v>34.865221030045156</v>
      </c>
      <c r="DF130" s="29">
        <v>5.4800926191421115E-11</v>
      </c>
      <c r="DG130" s="28">
        <v>34.876609010958859</v>
      </c>
      <c r="DH130" s="29">
        <v>5.4818825745276902E-11</v>
      </c>
      <c r="DI130" s="28">
        <v>34.888000711513662</v>
      </c>
      <c r="DJ130" s="29">
        <v>5.4836731145640231E-11</v>
      </c>
      <c r="DK130" s="28">
        <v>34.899396132924508</v>
      </c>
      <c r="DL130" s="29">
        <v>3.1847153377815375E-11</v>
      </c>
      <c r="DM130" s="28">
        <v>34.910795276406738</v>
      </c>
      <c r="DN130" s="29">
        <v>1.7996038347736939E-11</v>
      </c>
      <c r="DO130" s="28">
        <v>34.922198143176104</v>
      </c>
      <c r="DP130" s="29">
        <v>9.8713975707783322E-12</v>
      </c>
      <c r="DQ130" s="28">
        <v>34.933604734448707</v>
      </c>
      <c r="DR130" s="29">
        <v>5.2368873410613781E-12</v>
      </c>
      <c r="DS130" s="28">
        <v>34.945015051441096</v>
      </c>
      <c r="DT130" s="29">
        <v>2.6623409394522463E-12</v>
      </c>
      <c r="DU130" s="28">
        <v>34.956429095370183</v>
      </c>
      <c r="DV130" s="29">
        <v>1.2995124054202267E-12</v>
      </c>
      <c r="DW130" s="28">
        <v>34.967846867453318</v>
      </c>
      <c r="DX130" s="29">
        <v>6.0630796110256893E-13</v>
      </c>
      <c r="DY130" s="28">
        <v>34.979268368908201</v>
      </c>
      <c r="DZ130" s="29">
        <v>2.6898310483567302E-13</v>
      </c>
      <c r="EA130" s="28">
        <v>34.990693600952987</v>
      </c>
      <c r="EB130" s="29">
        <v>1.1276772830666603E-13</v>
      </c>
      <c r="EC130" s="28">
        <v>35.002122564806136</v>
      </c>
      <c r="ED130" s="29">
        <v>4.4341203558816925E-14</v>
      </c>
      <c r="EE130" s="28">
        <v>35.013555261686626</v>
      </c>
      <c r="EF130" s="29">
        <v>1.6202580016859563E-14</v>
      </c>
      <c r="EG130" s="28">
        <v>35.024991692813686</v>
      </c>
      <c r="EH130" s="29">
        <v>5.4386925711021605E-15</v>
      </c>
      <c r="EI130" s="28">
        <v>35.036431859407116</v>
      </c>
      <c r="EJ130" s="29">
        <v>1.6523185699451066E-15</v>
      </c>
      <c r="EK130" s="28">
        <v>35.047875762686978</v>
      </c>
      <c r="EL130" s="29">
        <v>4.4549586393949484E-16</v>
      </c>
      <c r="EM130" s="28">
        <v>35.059323403873798</v>
      </c>
      <c r="EN130" s="29">
        <v>1.0374088716490992E-16</v>
      </c>
      <c r="EO130" s="28">
        <v>35.070774784188487</v>
      </c>
      <c r="EP130" s="29">
        <v>2.0051640593344153E-17</v>
      </c>
      <c r="EQ130" s="28">
        <v>35.082229904852333</v>
      </c>
      <c r="ER130" s="29">
        <v>3.0193194962461637E-18</v>
      </c>
      <c r="ES130" s="28">
        <v>35.093688767087066</v>
      </c>
      <c r="ET130" s="29">
        <v>3.1521004712539872E-19</v>
      </c>
      <c r="EU130" s="28">
        <v>35.105151372114769</v>
      </c>
      <c r="EV130" s="29">
        <v>1.7133384047656407E-20</v>
      </c>
      <c r="EW130" s="28">
        <v>35.116617721157944</v>
      </c>
      <c r="EX130" s="29">
        <v>0</v>
      </c>
      <c r="EY130" s="28">
        <v>35.128087815439507</v>
      </c>
      <c r="EZ130" s="29">
        <v>0</v>
      </c>
      <c r="FA130" s="28">
        <v>35.139561656182757</v>
      </c>
      <c r="FB130" s="29">
        <v>0</v>
      </c>
      <c r="FC130" s="28">
        <v>35.151039244611397</v>
      </c>
      <c r="FD130" s="29">
        <v>0</v>
      </c>
      <c r="FE130" s="28">
        <v>35.162520581949529</v>
      </c>
      <c r="FF130" s="29">
        <v>0</v>
      </c>
      <c r="FG130" s="28">
        <v>35.174005669421653</v>
      </c>
      <c r="FH130" s="29">
        <v>0</v>
      </c>
      <c r="FI130" s="28">
        <v>35.185494508252653</v>
      </c>
      <c r="FJ130" s="29">
        <v>0</v>
      </c>
      <c r="FK130" s="28">
        <v>35.196987099667837</v>
      </c>
      <c r="FL130" s="29">
        <v>0</v>
      </c>
      <c r="FM130" s="28">
        <v>35.20848344489297</v>
      </c>
      <c r="FN130" s="29">
        <v>0</v>
      </c>
      <c r="FO130" s="28">
        <v>35.219983545154051</v>
      </c>
      <c r="FP130" s="29">
        <v>0</v>
      </c>
      <c r="FQ130" s="28">
        <v>35.23148740167764</v>
      </c>
      <c r="FR130" s="29">
        <v>0</v>
      </c>
      <c r="FS130" s="28">
        <v>35.242995015690646</v>
      </c>
      <c r="FT130" s="29">
        <v>0</v>
      </c>
      <c r="FU130" s="28">
        <v>35.254506388420346</v>
      </c>
      <c r="FV130" s="29">
        <v>0</v>
      </c>
      <c r="FW130" s="28">
        <v>35.266021521094459</v>
      </c>
      <c r="FX130" s="29">
        <v>0</v>
      </c>
      <c r="FY130" s="28">
        <v>35.277540414941086</v>
      </c>
      <c r="FZ130" s="29">
        <v>0</v>
      </c>
      <c r="GA130" s="28">
        <v>35.28906307118875</v>
      </c>
      <c r="GB130" s="29">
        <v>0</v>
      </c>
      <c r="GC130" s="28">
        <v>35.300589491066319</v>
      </c>
      <c r="GD130" s="29">
        <v>0</v>
      </c>
      <c r="GE130" s="28">
        <v>35.312119675803146</v>
      </c>
      <c r="GF130" s="29">
        <v>0</v>
      </c>
      <c r="GG130" s="28">
        <v>35.323653626628918</v>
      </c>
      <c r="GH130" s="29">
        <v>0</v>
      </c>
      <c r="GI130" s="28">
        <v>35.335191344773762</v>
      </c>
      <c r="GJ130" s="29">
        <v>0</v>
      </c>
      <c r="GK130" s="28">
        <v>35.346732831468181</v>
      </c>
      <c r="GL130" s="29">
        <v>0</v>
      </c>
      <c r="GM130" s="28">
        <v>35.358278087943091</v>
      </c>
      <c r="GN130" s="29">
        <v>0</v>
      </c>
      <c r="GO130" s="28">
        <v>35.369827115429821</v>
      </c>
      <c r="GP130" s="29">
        <v>0</v>
      </c>
      <c r="GQ130" s="28">
        <v>35.381379915160082</v>
      </c>
      <c r="GR130" s="29">
        <v>0</v>
      </c>
      <c r="GS130" s="28">
        <v>35.392936488365997</v>
      </c>
      <c r="GT130" s="29">
        <v>0</v>
      </c>
    </row>
    <row r="131" spans="99:202" x14ac:dyDescent="0.25">
      <c r="DK131" s="28">
        <v>33.403100351170032</v>
      </c>
      <c r="DL131" s="29">
        <v>3.0433528648759702E-13</v>
      </c>
      <c r="DM131" s="28">
        <v>33.414010761545157</v>
      </c>
      <c r="DN131" s="29">
        <v>3.0443469111867337E-13</v>
      </c>
      <c r="DO131" s="28">
        <v>33.424924735573178</v>
      </c>
      <c r="DP131" s="29">
        <v>3.0453412821815256E-13</v>
      </c>
      <c r="DQ131" s="28">
        <v>33.435842274418043</v>
      </c>
      <c r="DR131" s="29">
        <v>3.0463359779663969E-13</v>
      </c>
      <c r="DS131" s="28">
        <v>33.446763379244146</v>
      </c>
      <c r="DT131" s="29">
        <v>3.0473309986474338E-13</v>
      </c>
      <c r="DU131" s="28">
        <v>33.45768805121623</v>
      </c>
      <c r="DV131" s="29">
        <v>1.3926921052649334E-13</v>
      </c>
      <c r="DW131" s="28">
        <v>33.468616291499444</v>
      </c>
      <c r="DX131" s="29">
        <v>6.0517699291208857E-14</v>
      </c>
      <c r="DY131" s="28">
        <v>33.479548101259283</v>
      </c>
      <c r="DZ131" s="29">
        <v>2.4845916190705659E-14</v>
      </c>
      <c r="EA131" s="28">
        <v>33.490483481661677</v>
      </c>
      <c r="EB131" s="29">
        <v>9.5238890966008035E-15</v>
      </c>
      <c r="EC131" s="28">
        <v>33.501422433872847</v>
      </c>
      <c r="ED131" s="29">
        <v>3.3895413856013211E-15</v>
      </c>
      <c r="EE131" s="28">
        <v>33.512364959059504</v>
      </c>
      <c r="EF131" s="29">
        <v>1.1071179596572091E-15</v>
      </c>
      <c r="EG131" s="28">
        <v>33.523311058388593</v>
      </c>
      <c r="EH131" s="29">
        <v>3.2696869280287319E-16</v>
      </c>
      <c r="EI131" s="28">
        <v>33.534260733027637</v>
      </c>
      <c r="EJ131" s="29">
        <v>8.5608051089587729E-17</v>
      </c>
      <c r="EK131" s="28">
        <v>33.545213984144368</v>
      </c>
      <c r="EL131" s="29">
        <v>1.9337476400351211E-17</v>
      </c>
      <c r="EM131" s="28">
        <v>33.556170812906991</v>
      </c>
      <c r="EN131" s="29">
        <v>3.6213491896747785E-18</v>
      </c>
      <c r="EO131" s="28">
        <v>33.567131220484079</v>
      </c>
      <c r="EP131" s="29">
        <v>5.2766805516695325E-19</v>
      </c>
      <c r="EQ131" s="28">
        <v>33.578095208044545</v>
      </c>
      <c r="ER131" s="29">
        <v>5.3236510437210364E-20</v>
      </c>
      <c r="ES131" s="28">
        <v>33.58906277675775</v>
      </c>
      <c r="ET131" s="29">
        <v>2.7925423688414305E-21</v>
      </c>
      <c r="EU131" s="28">
        <v>33.600033927793362</v>
      </c>
      <c r="EV131" s="29">
        <v>0</v>
      </c>
      <c r="EW131" s="28">
        <v>33.611008662321488</v>
      </c>
      <c r="EX131" s="29">
        <v>0</v>
      </c>
      <c r="EY131" s="28">
        <v>33.621986981512606</v>
      </c>
      <c r="EZ131" s="29">
        <v>0</v>
      </c>
      <c r="FA131" s="28">
        <v>33.632968886537562</v>
      </c>
      <c r="FB131" s="29">
        <v>0</v>
      </c>
      <c r="FC131" s="28">
        <v>33.643954378567599</v>
      </c>
      <c r="FD131" s="29">
        <v>0</v>
      </c>
      <c r="FE131" s="28">
        <v>33.654943458774333</v>
      </c>
      <c r="FF131" s="29">
        <v>0</v>
      </c>
      <c r="FG131" s="28">
        <v>33.665936128329761</v>
      </c>
      <c r="FH131" s="29">
        <v>0</v>
      </c>
      <c r="FI131" s="28">
        <v>33.676932388406257</v>
      </c>
      <c r="FJ131" s="29">
        <v>0</v>
      </c>
      <c r="FK131" s="28">
        <v>33.687932240176593</v>
      </c>
      <c r="FL131" s="29">
        <v>0</v>
      </c>
      <c r="FM131" s="28">
        <v>33.698935684813975</v>
      </c>
      <c r="FN131" s="29">
        <v>0</v>
      </c>
      <c r="FO131" s="28">
        <v>33.709942723491849</v>
      </c>
      <c r="FP131" s="29">
        <v>0</v>
      </c>
      <c r="FQ131" s="28">
        <v>33.720953357384175</v>
      </c>
      <c r="FR131" s="29">
        <v>0</v>
      </c>
      <c r="FS131" s="28">
        <v>33.731967587665267</v>
      </c>
      <c r="FT131" s="29">
        <v>0</v>
      </c>
      <c r="FU131" s="28">
        <v>33.742985415509771</v>
      </c>
      <c r="FV131" s="29">
        <v>0</v>
      </c>
      <c r="FW131" s="28">
        <v>33.754006842092785</v>
      </c>
      <c r="FX131" s="29">
        <v>0</v>
      </c>
      <c r="FY131" s="28">
        <v>33.765031868589745</v>
      </c>
      <c r="FZ131" s="29">
        <v>0</v>
      </c>
      <c r="GA131" s="28">
        <v>33.776060496176498</v>
      </c>
      <c r="GB131" s="29">
        <v>0</v>
      </c>
      <c r="GC131" s="28">
        <v>33.787092726029236</v>
      </c>
      <c r="GD131" s="29">
        <v>0</v>
      </c>
      <c r="GE131" s="28">
        <v>33.798128559324603</v>
      </c>
      <c r="GF131" s="29">
        <v>0</v>
      </c>
      <c r="GG131" s="28">
        <v>33.809167997239548</v>
      </c>
      <c r="GH131" s="29">
        <v>0</v>
      </c>
      <c r="GI131" s="28">
        <v>33.820211040951477</v>
      </c>
      <c r="GJ131" s="29">
        <v>0</v>
      </c>
      <c r="GK131" s="28">
        <v>33.831257691638129</v>
      </c>
      <c r="GL131" s="29">
        <v>0</v>
      </c>
      <c r="GM131" s="28">
        <v>33.84230795047764</v>
      </c>
      <c r="GN131" s="29">
        <v>0</v>
      </c>
      <c r="GO131" s="28">
        <v>33.853361818648544</v>
      </c>
      <c r="GP131" s="29">
        <v>0</v>
      </c>
      <c r="GQ131" s="28">
        <v>33.864419297329754</v>
      </c>
      <c r="GR131" s="29">
        <v>0</v>
      </c>
      <c r="GS131" s="28">
        <v>33.875480387700563</v>
      </c>
      <c r="GT131" s="29">
        <v>0</v>
      </c>
    </row>
    <row r="132" spans="99:202" x14ac:dyDescent="0.25">
      <c r="DU132" s="28">
        <v>32.0232048496269</v>
      </c>
      <c r="DV132" s="29">
        <v>7.0052815207783419E-16</v>
      </c>
      <c r="DW132" s="28">
        <v>32.033664546564104</v>
      </c>
      <c r="DX132" s="29">
        <v>7.0075696465924594E-16</v>
      </c>
      <c r="DY132" s="28">
        <v>32.044127659938241</v>
      </c>
      <c r="DZ132" s="29">
        <v>7.0098585197740769E-16</v>
      </c>
      <c r="EA132" s="28">
        <v>32.054594190865259</v>
      </c>
      <c r="EB132" s="29">
        <v>7.0121481405673074E-16</v>
      </c>
      <c r="EC132" s="28">
        <v>32.065064140461367</v>
      </c>
      <c r="ED132" s="29">
        <v>2.2322513754694972E-16</v>
      </c>
      <c r="EE132" s="28">
        <v>32.075537509843258</v>
      </c>
      <c r="EF132" s="29">
        <v>6.4188686289555535E-17</v>
      </c>
      <c r="EG132" s="28">
        <v>32.08601430012785</v>
      </c>
      <c r="EH132" s="29">
        <v>1.6347447615762771E-17</v>
      </c>
      <c r="EI132" s="28">
        <v>32.096494512432599</v>
      </c>
      <c r="EJ132" s="29">
        <v>3.5888686174221824E-18</v>
      </c>
      <c r="EK132" s="28">
        <v>32.106978147875175</v>
      </c>
      <c r="EL132" s="29">
        <v>6.5180439809894687E-19</v>
      </c>
      <c r="EM132" s="28">
        <v>32.117465207573701</v>
      </c>
      <c r="EN132" s="29">
        <v>9.2000785145641549E-20</v>
      </c>
      <c r="EO132" s="28">
        <v>32.127955692646644</v>
      </c>
      <c r="EP132" s="29">
        <v>8.9802434242472349E-21</v>
      </c>
      <c r="EQ132" s="28">
        <v>32.138449604212802</v>
      </c>
      <c r="ER132" s="29">
        <v>4.551519337969335E-22</v>
      </c>
      <c r="ES132" s="28">
        <v>32.148946943391401</v>
      </c>
      <c r="ET132" s="29">
        <v>0</v>
      </c>
      <c r="EU132" s="28">
        <v>32.159447711301958</v>
      </c>
      <c r="EV132" s="29">
        <v>0</v>
      </c>
      <c r="EW132" s="28">
        <v>32.169951909064409</v>
      </c>
      <c r="EX132" s="29">
        <v>0</v>
      </c>
      <c r="EY132" s="28">
        <v>32.180459537799059</v>
      </c>
      <c r="EZ132" s="29">
        <v>0</v>
      </c>
      <c r="FA132" s="28">
        <v>32.190970598626542</v>
      </c>
      <c r="FB132" s="29">
        <v>0</v>
      </c>
      <c r="FC132" s="28">
        <v>32.201485092667887</v>
      </c>
      <c r="FD132" s="29">
        <v>0</v>
      </c>
      <c r="FE132" s="28">
        <v>32.212003021044488</v>
      </c>
      <c r="FF132" s="29">
        <v>0</v>
      </c>
      <c r="FG132" s="28">
        <v>32.222524384878078</v>
      </c>
      <c r="FH132" s="29">
        <v>0</v>
      </c>
      <c r="FI132" s="28">
        <v>32.233049185290781</v>
      </c>
      <c r="FJ132" s="29">
        <v>0</v>
      </c>
      <c r="FK132" s="28">
        <v>32.243577423405078</v>
      </c>
      <c r="FL132" s="29">
        <v>0</v>
      </c>
      <c r="FM132" s="28">
        <v>32.254109100343868</v>
      </c>
      <c r="FN132" s="29">
        <v>0</v>
      </c>
      <c r="FO132" s="28">
        <v>32.264644217230305</v>
      </c>
      <c r="FP132" s="29">
        <v>0</v>
      </c>
      <c r="FQ132" s="28">
        <v>32.275182775188</v>
      </c>
      <c r="FR132" s="29">
        <v>0</v>
      </c>
      <c r="FS132" s="28">
        <v>32.285724775340917</v>
      </c>
      <c r="FT132" s="29">
        <v>0</v>
      </c>
      <c r="FU132" s="28">
        <v>32.296270218813355</v>
      </c>
      <c r="FV132" s="29">
        <v>0</v>
      </c>
      <c r="FW132" s="28">
        <v>32.306819106730018</v>
      </c>
      <c r="FX132" s="29">
        <v>0</v>
      </c>
      <c r="FY132" s="28">
        <v>32.31737144021595</v>
      </c>
      <c r="FZ132" s="29">
        <v>0</v>
      </c>
      <c r="GA132" s="28">
        <v>32.327927220396582</v>
      </c>
      <c r="GB132" s="29">
        <v>0</v>
      </c>
      <c r="GC132" s="28">
        <v>32.338486448397681</v>
      </c>
      <c r="GD132" s="29">
        <v>0</v>
      </c>
      <c r="GE132" s="28">
        <v>32.349049125345438</v>
      </c>
      <c r="GF132" s="29">
        <v>0</v>
      </c>
      <c r="GG132" s="28">
        <v>32.359615252366346</v>
      </c>
      <c r="GH132" s="29">
        <v>0</v>
      </c>
      <c r="GI132" s="28">
        <v>32.370184830587327</v>
      </c>
      <c r="GJ132" s="29">
        <v>0</v>
      </c>
      <c r="GK132" s="28">
        <v>32.380757861135628</v>
      </c>
      <c r="GL132" s="29">
        <v>0</v>
      </c>
      <c r="GM132" s="28">
        <v>32.391334345138866</v>
      </c>
      <c r="GN132" s="29">
        <v>0</v>
      </c>
      <c r="GO132" s="28">
        <v>32.401914283725048</v>
      </c>
      <c r="GP132" s="29">
        <v>0</v>
      </c>
      <c r="GQ132" s="28">
        <v>32.412497678022547</v>
      </c>
      <c r="GR132" s="29">
        <v>0</v>
      </c>
      <c r="GS132" s="28">
        <v>32.423084529160093</v>
      </c>
      <c r="GT132" s="29">
        <v>0</v>
      </c>
    </row>
    <row r="133" spans="99:202" x14ac:dyDescent="0.25">
      <c r="EC133" s="28">
        <v>30.690289057468018</v>
      </c>
      <c r="ED133" s="29">
        <v>1.5982497471095071E-20</v>
      </c>
      <c r="EE133" s="28">
        <v>30.700313385887505</v>
      </c>
      <c r="EF133" s="29">
        <v>1.5987717813051238E-20</v>
      </c>
      <c r="EG133" s="28">
        <v>30.71034098854004</v>
      </c>
      <c r="EH133" s="29">
        <v>1.5992939860120776E-20</v>
      </c>
      <c r="EI133" s="28">
        <v>30.720371866495171</v>
      </c>
      <c r="EJ133" s="29">
        <v>1.5998163612860624E-20</v>
      </c>
      <c r="EK133" s="28">
        <v>30.730406020822645</v>
      </c>
      <c r="EL133" s="29">
        <v>1.6003389071827903E-20</v>
      </c>
      <c r="EM133" s="28">
        <v>30.74044345259265</v>
      </c>
      <c r="EN133" s="29">
        <v>1.5131114637498765E-21</v>
      </c>
      <c r="EO133" s="28">
        <v>30.750484162875697</v>
      </c>
      <c r="EP133" s="29">
        <v>7.4184472597630927E-23</v>
      </c>
      <c r="EQ133" s="28">
        <v>30.760528152742616</v>
      </c>
      <c r="ER133" s="29">
        <v>0</v>
      </c>
      <c r="ES133" s="28">
        <v>30.770575423264646</v>
      </c>
      <c r="ET133" s="29">
        <v>0</v>
      </c>
      <c r="EU133" s="28">
        <v>30.780625975513306</v>
      </c>
      <c r="EV133" s="29">
        <v>0</v>
      </c>
      <c r="EW133" s="28">
        <v>30.790679810560516</v>
      </c>
      <c r="EX133" s="29">
        <v>0</v>
      </c>
      <c r="EY133" s="28">
        <v>30.80073692947855</v>
      </c>
      <c r="EZ133" s="29">
        <v>0</v>
      </c>
      <c r="FA133" s="28">
        <v>30.810797333339991</v>
      </c>
      <c r="FB133" s="29">
        <v>0</v>
      </c>
      <c r="FC133" s="28">
        <v>30.820861023217809</v>
      </c>
      <c r="FD133" s="29">
        <v>0</v>
      </c>
      <c r="FE133" s="28">
        <v>30.830928000185313</v>
      </c>
      <c r="FF133" s="29">
        <v>0</v>
      </c>
      <c r="FG133" s="28">
        <v>30.840998265316149</v>
      </c>
      <c r="FH133" s="29">
        <v>0</v>
      </c>
      <c r="FI133" s="28">
        <v>30.851071819684325</v>
      </c>
      <c r="FJ133" s="29">
        <v>0</v>
      </c>
      <c r="FK133" s="28">
        <v>30.861148664364201</v>
      </c>
      <c r="FL133" s="29">
        <v>0</v>
      </c>
      <c r="FM133" s="28">
        <v>30.871228800430526</v>
      </c>
      <c r="FN133" s="29">
        <v>0</v>
      </c>
      <c r="FO133" s="28">
        <v>30.881312228958304</v>
      </c>
      <c r="FP133" s="29">
        <v>0</v>
      </c>
      <c r="FQ133" s="28">
        <v>30.891398951022971</v>
      </c>
      <c r="FR133" s="29">
        <v>0</v>
      </c>
      <c r="FS133" s="28">
        <v>30.901488967700303</v>
      </c>
      <c r="FT133" s="29">
        <v>0</v>
      </c>
      <c r="FU133" s="28">
        <v>30.911582280066387</v>
      </c>
      <c r="FV133" s="29">
        <v>0</v>
      </c>
      <c r="FW133" s="28">
        <v>30.921678889197718</v>
      </c>
      <c r="FX133" s="29">
        <v>0</v>
      </c>
      <c r="FY133" s="28">
        <v>30.931778796171095</v>
      </c>
      <c r="FZ133" s="29">
        <v>0</v>
      </c>
      <c r="GA133" s="28">
        <v>30.9418820020637</v>
      </c>
      <c r="GB133" s="29">
        <v>0</v>
      </c>
      <c r="GC133" s="28">
        <v>30.951988507953036</v>
      </c>
      <c r="GD133" s="29">
        <v>0</v>
      </c>
      <c r="GE133" s="28">
        <v>30.962098314917004</v>
      </c>
      <c r="GF133" s="29">
        <v>0</v>
      </c>
      <c r="GG133" s="28">
        <v>30.972211424033802</v>
      </c>
      <c r="GH133" s="29">
        <v>0</v>
      </c>
      <c r="GI133" s="28">
        <v>30.982327836382034</v>
      </c>
      <c r="GJ133" s="29">
        <v>0</v>
      </c>
      <c r="GK133" s="28">
        <v>30.992447553040616</v>
      </c>
      <c r="GL133" s="29">
        <v>0</v>
      </c>
      <c r="GM133" s="28">
        <v>31.002570575088821</v>
      </c>
      <c r="GN133" s="29">
        <v>0</v>
      </c>
      <c r="GO133" s="28">
        <v>31.012696903606297</v>
      </c>
      <c r="GP133" s="29">
        <v>0</v>
      </c>
      <c r="GQ133" s="28">
        <v>31.022826539673034</v>
      </c>
      <c r="GR133" s="29">
        <v>0</v>
      </c>
      <c r="GS133" s="28">
        <v>31.032959484369364</v>
      </c>
      <c r="GT133" s="29">
        <v>0</v>
      </c>
    </row>
    <row r="134" spans="99:202" x14ac:dyDescent="0.25">
      <c r="EM134" s="28">
        <v>29.422460880854615</v>
      </c>
      <c r="EN134" s="29">
        <v>0</v>
      </c>
      <c r="EO134" s="28">
        <v>29.432071100237899</v>
      </c>
      <c r="EP134" s="29">
        <v>0</v>
      </c>
      <c r="EQ134" s="28">
        <v>29.441684458594388</v>
      </c>
      <c r="ER134" s="29">
        <v>0</v>
      </c>
      <c r="ES134" s="28">
        <v>29.451300956949385</v>
      </c>
      <c r="ET134" s="29">
        <v>0</v>
      </c>
      <c r="EU134" s="28">
        <v>29.460920596328474</v>
      </c>
      <c r="EV134" s="29">
        <v>0</v>
      </c>
      <c r="EW134" s="28">
        <v>29.470543377757615</v>
      </c>
      <c r="EX134" s="29">
        <v>0</v>
      </c>
      <c r="EY134" s="28">
        <v>29.480169302263104</v>
      </c>
      <c r="EZ134" s="29">
        <v>0</v>
      </c>
      <c r="FA134" s="28">
        <v>29.489798370871544</v>
      </c>
      <c r="FB134" s="29">
        <v>0</v>
      </c>
      <c r="FC134" s="28">
        <v>29.499430584609897</v>
      </c>
      <c r="FD134" s="29">
        <v>0</v>
      </c>
      <c r="FE134" s="28">
        <v>29.509065944505458</v>
      </c>
      <c r="FF134" s="29">
        <v>0</v>
      </c>
      <c r="FG134" s="28">
        <v>29.518704451585837</v>
      </c>
      <c r="FH134" s="29">
        <v>0</v>
      </c>
      <c r="FI134" s="28">
        <v>29.528346106878999</v>
      </c>
      <c r="FJ134" s="29">
        <v>0</v>
      </c>
      <c r="FK134" s="28">
        <v>29.537990911413239</v>
      </c>
      <c r="FL134" s="29">
        <v>0</v>
      </c>
      <c r="FM134" s="28">
        <v>29.547638866217227</v>
      </c>
      <c r="FN134" s="29">
        <v>0</v>
      </c>
      <c r="FO134" s="28">
        <v>29.557289972319875</v>
      </c>
      <c r="FP134" s="29">
        <v>0</v>
      </c>
      <c r="FQ134" s="28">
        <v>29.566944230750511</v>
      </c>
      <c r="FR134" s="29">
        <v>0</v>
      </c>
      <c r="FS134" s="28">
        <v>29.57660164253879</v>
      </c>
      <c r="FT134" s="29">
        <v>0</v>
      </c>
      <c r="FU134" s="28">
        <v>29.586262208714661</v>
      </c>
      <c r="FV134" s="29">
        <v>0</v>
      </c>
      <c r="FW134" s="28">
        <v>29.595925930308461</v>
      </c>
      <c r="FX134" s="29">
        <v>0</v>
      </c>
      <c r="FY134" s="28">
        <v>29.605592808350828</v>
      </c>
      <c r="FZ134" s="29">
        <v>0</v>
      </c>
      <c r="GA134" s="28">
        <v>29.615262843872756</v>
      </c>
      <c r="GB134" s="29">
        <v>0</v>
      </c>
      <c r="GC134" s="28">
        <v>29.624936037905552</v>
      </c>
      <c r="GD134" s="29">
        <v>0</v>
      </c>
      <c r="GE134" s="28">
        <v>29.6346123914809</v>
      </c>
      <c r="GF134" s="29">
        <v>0</v>
      </c>
      <c r="GG134" s="28">
        <v>29.644291905630777</v>
      </c>
      <c r="GH134" s="29">
        <v>0</v>
      </c>
      <c r="GI134" s="28">
        <v>29.653974581387537</v>
      </c>
      <c r="GJ134" s="29">
        <v>0</v>
      </c>
      <c r="GK134" s="28">
        <v>29.663660419783838</v>
      </c>
      <c r="GL134" s="29">
        <v>0</v>
      </c>
      <c r="GM134" s="28">
        <v>29.673349421852681</v>
      </c>
      <c r="GN134" s="29">
        <v>0</v>
      </c>
      <c r="GO134" s="28">
        <v>29.683041588627425</v>
      </c>
      <c r="GP134" s="29">
        <v>0</v>
      </c>
      <c r="GQ134" s="28">
        <v>29.692736921141755</v>
      </c>
      <c r="GR134" s="29">
        <v>0</v>
      </c>
      <c r="GS134" s="28">
        <v>29.702435420429687</v>
      </c>
      <c r="GT134" s="29">
        <v>0</v>
      </c>
    </row>
    <row r="135" spans="99:202" x14ac:dyDescent="0.25">
      <c r="EW135" s="28">
        <v>28.207007195807758</v>
      </c>
      <c r="EX135" s="29">
        <v>0</v>
      </c>
      <c r="EY135" s="28">
        <v>28.216220413165587</v>
      </c>
      <c r="EZ135" s="29">
        <v>0</v>
      </c>
      <c r="FA135" s="28">
        <v>28.22543663982438</v>
      </c>
      <c r="FB135" s="29">
        <v>0</v>
      </c>
      <c r="FC135" s="28">
        <v>28.234655876767068</v>
      </c>
      <c r="FD135" s="29">
        <v>0</v>
      </c>
      <c r="FE135" s="28">
        <v>28.243878124976902</v>
      </c>
      <c r="FF135" s="29">
        <v>0</v>
      </c>
      <c r="FG135" s="28">
        <v>28.253103385437427</v>
      </c>
      <c r="FH135" s="29">
        <v>0</v>
      </c>
      <c r="FI135" s="28">
        <v>28.262331659132542</v>
      </c>
      <c r="FJ135" s="29">
        <v>0</v>
      </c>
      <c r="FK135" s="28">
        <v>28.271562947046455</v>
      </c>
      <c r="FL135" s="29">
        <v>0</v>
      </c>
      <c r="FM135" s="28">
        <v>28.280797250163726</v>
      </c>
      <c r="FN135" s="29">
        <v>0</v>
      </c>
      <c r="FO135" s="28">
        <v>28.290034569469157</v>
      </c>
      <c r="FP135" s="29">
        <v>0</v>
      </c>
      <c r="FQ135" s="28">
        <v>28.299274905947943</v>
      </c>
      <c r="FR135" s="29">
        <v>0</v>
      </c>
      <c r="FS135" s="28">
        <v>28.308518260585593</v>
      </c>
      <c r="FT135" s="29">
        <v>0</v>
      </c>
      <c r="FU135" s="28">
        <v>28.317764634367897</v>
      </c>
      <c r="FV135" s="29">
        <v>0</v>
      </c>
      <c r="FW135" s="28">
        <v>28.327014028281017</v>
      </c>
      <c r="FX135" s="29">
        <v>0</v>
      </c>
      <c r="FY135" s="28">
        <v>28.336266443311406</v>
      </c>
      <c r="FZ135" s="29">
        <v>0</v>
      </c>
      <c r="GA135" s="28">
        <v>28.345521880445848</v>
      </c>
      <c r="GB135" s="29">
        <v>0</v>
      </c>
      <c r="GC135" s="28">
        <v>28.354780340671439</v>
      </c>
      <c r="GD135" s="29">
        <v>0</v>
      </c>
      <c r="GE135" s="28">
        <v>28.364041824975629</v>
      </c>
      <c r="GF135" s="29">
        <v>0</v>
      </c>
      <c r="GG135" s="28">
        <v>28.373306334346147</v>
      </c>
      <c r="GH135" s="29">
        <v>0</v>
      </c>
      <c r="GI135" s="28">
        <v>28.382573869771086</v>
      </c>
      <c r="GJ135" s="29">
        <v>0</v>
      </c>
      <c r="GK135" s="28">
        <v>28.391844432238834</v>
      </c>
      <c r="GL135" s="29">
        <v>0</v>
      </c>
      <c r="GM135" s="28">
        <v>28.401118022738093</v>
      </c>
      <c r="GN135" s="29">
        <v>0</v>
      </c>
      <c r="GO135" s="28">
        <v>28.410394642257927</v>
      </c>
      <c r="GP135" s="29">
        <v>0</v>
      </c>
      <c r="GQ135" s="28">
        <v>28.419674291787697</v>
      </c>
      <c r="GR135" s="29">
        <v>0</v>
      </c>
      <c r="GS135" s="28">
        <v>28.428956972317085</v>
      </c>
      <c r="GT135" s="29">
        <v>0</v>
      </c>
    </row>
    <row r="136" spans="99:202" x14ac:dyDescent="0.25">
      <c r="FG136" s="28">
        <v>27.041764391029432</v>
      </c>
      <c r="FH136" s="29">
        <v>0</v>
      </c>
      <c r="FI136" s="28">
        <v>27.050597006675041</v>
      </c>
      <c r="FJ136" s="29">
        <v>0</v>
      </c>
      <c r="FK136" s="28">
        <v>27.059432507306184</v>
      </c>
      <c r="FL136" s="29">
        <v>0</v>
      </c>
      <c r="FM136" s="28">
        <v>27.068270893865208</v>
      </c>
      <c r="FN136" s="29">
        <v>0</v>
      </c>
      <c r="FO136" s="28">
        <v>27.077112167294693</v>
      </c>
      <c r="FP136" s="29">
        <v>0</v>
      </c>
      <c r="FQ136" s="28">
        <v>27.085956328537595</v>
      </c>
      <c r="FR136" s="29">
        <v>0</v>
      </c>
      <c r="FS136" s="28">
        <v>27.094803378537168</v>
      </c>
      <c r="FT136" s="29">
        <v>0</v>
      </c>
      <c r="FU136" s="28">
        <v>27.103653318236937</v>
      </c>
      <c r="FV136" s="29">
        <v>0</v>
      </c>
      <c r="FW136" s="28">
        <v>27.112506148580781</v>
      </c>
      <c r="FX136" s="29">
        <v>0</v>
      </c>
      <c r="FY136" s="28">
        <v>27.121361870512864</v>
      </c>
      <c r="FZ136" s="29">
        <v>0</v>
      </c>
      <c r="GA136" s="28">
        <v>27.130220484977659</v>
      </c>
      <c r="GB136" s="29">
        <v>0</v>
      </c>
      <c r="GC136" s="28">
        <v>27.139081992919941</v>
      </c>
      <c r="GD136" s="29">
        <v>0</v>
      </c>
      <c r="GE136" s="28">
        <v>27.147946395284823</v>
      </c>
      <c r="GF136" s="29">
        <v>0</v>
      </c>
      <c r="GG136" s="28">
        <v>27.156813693017686</v>
      </c>
      <c r="GH136" s="29">
        <v>0</v>
      </c>
      <c r="GI136" s="28">
        <v>27.165683887064258</v>
      </c>
      <c r="GJ136" s="29">
        <v>0</v>
      </c>
      <c r="GK136" s="28">
        <v>27.174556978370553</v>
      </c>
      <c r="GL136" s="29">
        <v>0</v>
      </c>
      <c r="GM136" s="28">
        <v>27.183432967882879</v>
      </c>
      <c r="GN136" s="29">
        <v>0</v>
      </c>
      <c r="GO136" s="28">
        <v>27.192311856547899</v>
      </c>
      <c r="GP136" s="29">
        <v>0</v>
      </c>
      <c r="GQ136" s="28">
        <v>27.201193645312554</v>
      </c>
      <c r="GR136" s="29">
        <v>0</v>
      </c>
      <c r="GS136" s="28">
        <v>27.210078335124091</v>
      </c>
      <c r="GT136" s="29">
        <v>0</v>
      </c>
    </row>
    <row r="137" spans="99:202" x14ac:dyDescent="0.25">
      <c r="FQ137" s="28">
        <v>25.924658234873977</v>
      </c>
      <c r="FR137" s="29">
        <v>0</v>
      </c>
      <c r="FS137" s="28">
        <v>25.933125971617098</v>
      </c>
      <c r="FT137" s="29">
        <v>0</v>
      </c>
      <c r="FU137" s="28">
        <v>25.941596474165831</v>
      </c>
      <c r="FV137" s="29">
        <v>0</v>
      </c>
      <c r="FW137" s="28">
        <v>25.950069743423587</v>
      </c>
      <c r="FX137" s="29">
        <v>0</v>
      </c>
      <c r="FY137" s="28">
        <v>25.958545780294045</v>
      </c>
      <c r="FZ137" s="29">
        <v>0</v>
      </c>
      <c r="GA137" s="28">
        <v>25.967024585681187</v>
      </c>
      <c r="GB137" s="29">
        <v>0</v>
      </c>
      <c r="GC137" s="28">
        <v>25.975506160489282</v>
      </c>
      <c r="GD137" s="29">
        <v>0</v>
      </c>
      <c r="GE137" s="28">
        <v>25.98399050562292</v>
      </c>
      <c r="GF137" s="29">
        <v>0</v>
      </c>
      <c r="GG137" s="28">
        <v>25.99247762198695</v>
      </c>
      <c r="GH137" s="29">
        <v>0</v>
      </c>
      <c r="GI137" s="28">
        <v>26.000967510486554</v>
      </c>
      <c r="GJ137" s="29">
        <v>0</v>
      </c>
      <c r="GK137" s="28">
        <v>26.009460172027183</v>
      </c>
      <c r="GL137" s="29">
        <v>0</v>
      </c>
      <c r="GM137" s="28">
        <v>26.017955607514576</v>
      </c>
      <c r="GN137" s="29">
        <v>0</v>
      </c>
      <c r="GO137" s="28">
        <v>26.026453817854804</v>
      </c>
      <c r="GP137" s="29">
        <v>0</v>
      </c>
      <c r="GQ137" s="28">
        <v>26.034954803954207</v>
      </c>
      <c r="GR137" s="29">
        <v>0</v>
      </c>
      <c r="GS137" s="28">
        <v>26.043458566719426</v>
      </c>
      <c r="GT137" s="29">
        <v>0</v>
      </c>
    </row>
    <row r="138" spans="99:202" x14ac:dyDescent="0.25">
      <c r="GC138" s="28">
        <v>24.861818114173492</v>
      </c>
      <c r="GD138" s="29">
        <v>0</v>
      </c>
      <c r="GE138" s="28">
        <v>24.869938696857314</v>
      </c>
      <c r="GF138" s="29">
        <v>0</v>
      </c>
      <c r="GG138" s="28">
        <v>24.878061931956282</v>
      </c>
      <c r="GH138" s="29">
        <v>0</v>
      </c>
      <c r="GI138" s="28">
        <v>24.886187820336769</v>
      </c>
      <c r="GJ138" s="29">
        <v>0</v>
      </c>
      <c r="GK138" s="28">
        <v>24.894316362865403</v>
      </c>
      <c r="GL138" s="29">
        <v>0</v>
      </c>
      <c r="GM138" s="28">
        <v>24.902447560409094</v>
      </c>
      <c r="GN138" s="29">
        <v>0</v>
      </c>
      <c r="GO138" s="28">
        <v>24.910581413835061</v>
      </c>
      <c r="GP138" s="29">
        <v>0</v>
      </c>
      <c r="GQ138" s="28">
        <v>24.918717924010789</v>
      </c>
      <c r="GR138" s="29">
        <v>0</v>
      </c>
      <c r="GS138" s="28">
        <v>24.926857091804042</v>
      </c>
      <c r="GT138" s="29">
        <v>0</v>
      </c>
    </row>
    <row r="139" spans="99:202" x14ac:dyDescent="0.25">
      <c r="GO139" s="28">
        <v>23.842551533071351</v>
      </c>
      <c r="GP139" s="29">
        <v>0</v>
      </c>
      <c r="GQ139" s="28">
        <v>23.850339194063334</v>
      </c>
      <c r="GR139" s="29">
        <v>0</v>
      </c>
      <c r="GS139" s="28">
        <v>23.858129398728696</v>
      </c>
      <c r="GT139" s="2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13</vt:i4>
      </vt:variant>
    </vt:vector>
  </HeadingPairs>
  <TitlesOfParts>
    <vt:vector size="18" baseType="lpstr">
      <vt:lpstr>Pricer</vt:lpstr>
      <vt:lpstr>Tree vs B&amp;S</vt:lpstr>
      <vt:lpstr>Performance Test</vt:lpstr>
      <vt:lpstr>Greeks Analysis</vt:lpstr>
      <vt:lpstr>VBA_Arbre</vt:lpstr>
      <vt:lpstr>Divamount</vt:lpstr>
      <vt:lpstr>divDate</vt:lpstr>
      <vt:lpstr>EU_US</vt:lpstr>
      <vt:lpstr>IntRate</vt:lpstr>
      <vt:lpstr>Mat</vt:lpstr>
      <vt:lpstr>OptPrice_VBA</vt:lpstr>
      <vt:lpstr>OptType</vt:lpstr>
      <vt:lpstr>Pr_Date</vt:lpstr>
      <vt:lpstr>St</vt:lpstr>
      <vt:lpstr>Steps</vt:lpstr>
      <vt:lpstr>Strike</vt:lpstr>
      <vt:lpstr>Time_VBA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Issam Fradi</dc:creator>
  <cp:lastModifiedBy>Milos Gajic</cp:lastModifiedBy>
  <dcterms:created xsi:type="dcterms:W3CDTF">2025-09-16T13:34:22Z</dcterms:created>
  <dcterms:modified xsi:type="dcterms:W3CDTF">2025-11-02T15:59:49Z</dcterms:modified>
</cp:coreProperties>
</file>